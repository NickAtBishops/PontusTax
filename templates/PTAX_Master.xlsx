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0960" windowHeight="16800" tabRatio="500" firstSheet="1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Property Tax" sheetId="2" state="visible" r:id="rId2"/>
  </sheets>
  <definedNames>
    <definedName name="_xlnm._FilterDatabase" localSheetId="1" hidden="1">'Property Tax'!$A$4:$R$84</definedName>
  </definedNames>
  <calcPr calcId="191028" fullCalcOnLoad="1"/>
</workbook>
</file>

<file path=xl/styles.xml><?xml version="1.0" encoding="utf-8"?>
<styleSheet xmlns="http://schemas.openxmlformats.org/spreadsheetml/2006/main">
  <numFmts count="3">
    <numFmt numFmtId="164" formatCode="\$#,##0;&quot;($&quot;#,##0\);\-"/>
    <numFmt numFmtId="165" formatCode="yyyy\-mm\-dd"/>
    <numFmt numFmtId="166" formatCode="0.0%"/>
  </numFmts>
  <fonts count="11">
    <font>
      <name val="Aptos Narrow"/>
      <charset val="1"/>
      <family val="2"/>
      <color theme="1"/>
      <sz val="11"/>
    </font>
    <font>
      <name val="Aptos Narrow"/>
      <b val="1"/>
      <sz val="16"/>
    </font>
    <font>
      <name val="Aptos Narrow"/>
      <b val="1"/>
      <sz val="11"/>
    </font>
    <font>
      <name val="Aptos Narrow"/>
      <sz val="11"/>
    </font>
    <font>
      <name val="Aptos Narrow"/>
      <b val="1"/>
      <sz val="12"/>
    </font>
    <font>
      <name val="Aptos Narrow"/>
      <charset val="1"/>
      <family val="2"/>
      <b val="1"/>
      <color theme="1"/>
      <sz val="11"/>
    </font>
    <font>
      <name val="Aptos Narrow"/>
      <charset val="1"/>
      <family val="2"/>
      <color theme="10"/>
      <sz val="11"/>
      <u val="single"/>
    </font>
    <font>
      <name val="Aptos Narrow"/>
      <charset val="1"/>
      <family val="2"/>
      <sz val="11"/>
    </font>
    <font>
      <name val="Aptos Narrow"/>
      <charset val="1"/>
      <family val="2"/>
      <color theme="0"/>
      <sz val="11"/>
    </font>
    <font>
      <name val="Aptos Narrow"/>
      <b val="1"/>
      <color theme="0"/>
      <sz val="11"/>
    </font>
    <font>
      <b val="1"/>
    </font>
  </fonts>
  <fills count="9">
    <fill>
      <patternFill/>
    </fill>
    <fill>
      <patternFill patternType="gray125"/>
    </fill>
    <fill>
      <patternFill patternType="solid">
        <fgColor theme="0"/>
        <bgColor rgb="FFFFF8DC"/>
      </patternFill>
    </fill>
    <fill>
      <patternFill patternType="solid">
        <fgColor theme="0" tint="-0.1499984740745262"/>
        <bgColor rgb="FFC0C0C0"/>
      </patternFill>
    </fill>
    <fill>
      <patternFill patternType="solid">
        <fgColor rgb="FFFFF8DC"/>
        <bgColor rgb="FFFFFFFF"/>
      </patternFill>
    </fill>
    <fill>
      <patternFill patternType="solid">
        <fgColor rgb="FFFFF8DC"/>
      </patternFill>
    </fill>
    <fill>
      <patternFill patternType="solid">
        <fgColor rgb="FF183E4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0" fillId="2" borderId="0" applyAlignment="1" pivotButton="0" quotePrefix="0" xfId="0">
      <alignment horizontal="left"/>
    </xf>
    <xf numFmtId="0" fontId="0" fillId="2" borderId="0" applyAlignment="1" pivotButton="0" quotePrefix="0" xfId="0">
      <alignment horizontal="center"/>
    </xf>
    <xf numFmtId="14" fontId="0" fillId="2" borderId="1" applyAlignment="1" pivotButton="0" quotePrefix="0" xfId="0">
      <alignment horizontal="center"/>
    </xf>
    <xf numFmtId="14" fontId="0" fillId="2" borderId="0" applyAlignment="1" pivotButton="0" quotePrefix="0" xfId="0">
      <alignment horizontal="center"/>
    </xf>
    <xf numFmtId="14" fontId="0" fillId="2" borderId="2" applyAlignment="1" pivotButton="0" quotePrefix="0" xfId="0">
      <alignment horizontal="center"/>
    </xf>
    <xf numFmtId="0" fontId="0" fillId="2" borderId="0" pivotButton="0" quotePrefix="0" xfId="0"/>
    <xf numFmtId="14" fontId="0" fillId="2" borderId="0" applyAlignment="1" pivotButton="0" quotePrefix="0" xfId="0">
      <alignment horizontal="left"/>
    </xf>
    <xf numFmtId="14" fontId="0" fillId="2" borderId="3" applyAlignment="1" pivotButton="0" quotePrefix="0" xfId="0">
      <alignment horizontal="center"/>
    </xf>
    <xf numFmtId="14" fontId="0" fillId="2" borderId="4" applyAlignment="1" pivotButton="0" quotePrefix="0" xfId="0">
      <alignment horizontal="center"/>
    </xf>
    <xf numFmtId="14" fontId="0" fillId="2" borderId="5" applyAlignment="1" pivotButton="0" quotePrefix="0" xfId="0">
      <alignment horizontal="center"/>
    </xf>
    <xf numFmtId="0" fontId="5" fillId="2" borderId="7" pivotButton="0" quotePrefix="0" xfId="0"/>
    <xf numFmtId="0" fontId="5" fillId="2" borderId="8" pivotButton="0" quotePrefix="0" xfId="0"/>
    <xf numFmtId="0" fontId="5" fillId="2" borderId="9" pivotButton="0" quotePrefix="0" xfId="0"/>
    <xf numFmtId="0" fontId="5" fillId="3" borderId="7" applyAlignment="1" pivotButton="0" quotePrefix="0" xfId="0">
      <alignment horizontal="center"/>
    </xf>
    <xf numFmtId="0" fontId="5" fillId="3" borderId="8" applyAlignment="1" pivotButton="0" quotePrefix="0" xfId="0">
      <alignment horizontal="center"/>
    </xf>
    <xf numFmtId="0" fontId="5" fillId="3" borderId="9" applyAlignment="1" pivotButton="0" quotePrefix="0" xfId="0">
      <alignment horizontal="center"/>
    </xf>
    <xf numFmtId="0" fontId="5" fillId="3" borderId="3" applyAlignment="1" pivotButton="0" quotePrefix="0" xfId="0">
      <alignment horizontal="center" vertical="center"/>
    </xf>
    <xf numFmtId="0" fontId="5" fillId="3" borderId="4" applyAlignment="1" pivotButton="0" quotePrefix="0" xfId="0">
      <alignment horizontal="center" vertical="center"/>
    </xf>
    <xf numFmtId="14" fontId="5" fillId="3" borderId="3" applyAlignment="1" pivotButton="0" quotePrefix="0" xfId="0">
      <alignment horizontal="center" vertical="center"/>
    </xf>
    <xf numFmtId="14" fontId="5" fillId="3" borderId="4" applyAlignment="1" pivotButton="0" quotePrefix="0" xfId="0">
      <alignment horizontal="center" vertical="center"/>
    </xf>
    <xf numFmtId="14" fontId="5" fillId="3" borderId="5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0" fillId="2" borderId="1" applyAlignment="1" pivotButton="0" quotePrefix="0" xfId="0">
      <alignment horizontal="left"/>
    </xf>
    <xf numFmtId="0" fontId="0" fillId="2" borderId="2" applyAlignment="1" pivotButton="0" quotePrefix="0" xfId="0">
      <alignment horizontal="center"/>
    </xf>
    <xf numFmtId="0" fontId="0" fillId="2" borderId="1" applyAlignment="1" pivotButton="0" quotePrefix="0" xfId="0">
      <alignment horizontal="center"/>
    </xf>
    <xf numFmtId="0" fontId="0" fillId="2" borderId="3" applyAlignment="1" pivotButton="0" quotePrefix="0" xfId="0">
      <alignment horizontal="center"/>
    </xf>
    <xf numFmtId="0" fontId="0" fillId="2" borderId="4" applyAlignment="1" pivotButton="0" quotePrefix="0" xfId="0">
      <alignment horizontal="center"/>
    </xf>
    <xf numFmtId="0" fontId="6" fillId="2" borderId="4" applyAlignment="1" pivotButton="0" quotePrefix="0" xfId="0">
      <alignment horizontal="center"/>
    </xf>
    <xf numFmtId="0" fontId="6" fillId="2" borderId="0" applyAlignment="1" pivotButton="0" quotePrefix="0" xfId="0">
      <alignment horizontal="center"/>
    </xf>
    <xf numFmtId="14" fontId="7" fillId="2" borderId="0" applyAlignment="1" pivotButton="0" quotePrefix="0" xfId="0">
      <alignment horizontal="center"/>
    </xf>
    <xf numFmtId="49" fontId="0" fillId="2" borderId="1" applyAlignment="1" pivotButton="0" quotePrefix="0" xfId="0">
      <alignment horizontal="center"/>
    </xf>
    <xf numFmtId="0" fontId="0" fillId="0" borderId="1" pivotButton="0" quotePrefix="0" xfId="0"/>
    <xf numFmtId="0" fontId="0" fillId="0" borderId="0" applyAlignment="1" pivotButton="0" quotePrefix="0" xfId="0">
      <alignment horizontal="center"/>
    </xf>
    <xf numFmtId="0" fontId="0" fillId="2" borderId="10" applyAlignment="1" pivotButton="0" quotePrefix="0" xfId="0">
      <alignment horizontal="left"/>
    </xf>
    <xf numFmtId="0" fontId="0" fillId="2" borderId="11" applyAlignment="1" pivotButton="0" quotePrefix="0" xfId="0">
      <alignment horizontal="center"/>
    </xf>
    <xf numFmtId="0" fontId="0" fillId="2" borderId="12" applyAlignment="1" pivotButton="0" quotePrefix="0" xfId="0">
      <alignment horizontal="center"/>
    </xf>
    <xf numFmtId="0" fontId="0" fillId="2" borderId="10" applyAlignment="1" pivotButton="0" quotePrefix="0" xfId="0">
      <alignment horizontal="center"/>
    </xf>
    <xf numFmtId="14" fontId="0" fillId="2" borderId="10" applyAlignment="1" pivotButton="0" quotePrefix="0" xfId="0">
      <alignment horizontal="center"/>
    </xf>
    <xf numFmtId="14" fontId="0" fillId="2" borderId="11" applyAlignment="1" pivotButton="0" quotePrefix="0" xfId="0">
      <alignment horizontal="center"/>
    </xf>
    <xf numFmtId="14" fontId="0" fillId="2" borderId="12" applyAlignment="1" pivotButton="0" quotePrefix="0" xfId="0">
      <alignment horizontal="center"/>
    </xf>
    <xf numFmtId="0" fontId="5" fillId="2" borderId="8" applyAlignment="1" pivotButton="0" quotePrefix="0" xfId="0">
      <alignment horizontal="left"/>
    </xf>
    <xf numFmtId="0" fontId="5" fillId="3" borderId="4" applyAlignment="1" pivotButton="0" quotePrefix="0" xfId="0">
      <alignment horizontal="left" vertical="center"/>
    </xf>
    <xf numFmtId="0" fontId="0" fillId="2" borderId="4" applyAlignment="1" pivotButton="0" quotePrefix="0" xfId="0">
      <alignment horizontal="left"/>
    </xf>
    <xf numFmtId="0" fontId="0" fillId="2" borderId="11" applyAlignment="1" pivotButton="0" quotePrefix="0" xfId="0">
      <alignment horizontal="left"/>
    </xf>
    <xf numFmtId="0" fontId="8" fillId="7" borderId="0" applyAlignment="1" pivotButton="0" quotePrefix="0" xfId="0">
      <alignment horizontal="left" indent="48"/>
    </xf>
    <xf numFmtId="0" fontId="9" fillId="7" borderId="0" applyAlignment="1" pivotButton="0" quotePrefix="0" xfId="0">
      <alignment horizontal="left" vertical="center" indent="48"/>
    </xf>
    <xf numFmtId="0" fontId="0" fillId="7" borderId="0" applyAlignment="1" pivotButton="0" quotePrefix="0" xfId="0">
      <alignment horizontal="left" indent="48"/>
    </xf>
    <xf numFmtId="0" fontId="0" fillId="7" borderId="0" pivotButton="0" quotePrefix="0" xfId="0"/>
    <xf numFmtId="0" fontId="8" fillId="6" borderId="11" applyAlignment="1" pivotButton="0" quotePrefix="0" xfId="0">
      <alignment horizontal="centerContinuous" vertical="center"/>
    </xf>
    <xf numFmtId="0" fontId="8" fillId="8" borderId="0" applyAlignment="1" pivotButton="0" quotePrefix="0" xfId="0">
      <alignment horizontal="centerContinuous"/>
    </xf>
    <xf numFmtId="0" fontId="9" fillId="8" borderId="0" applyAlignment="1" pivotButton="0" quotePrefix="0" xfId="0">
      <alignment horizontal="centerContinuous" vertical="center"/>
    </xf>
    <xf numFmtId="0" fontId="2" fillId="0" borderId="0" applyAlignment="1" pivotButton="0" quotePrefix="0" xfId="0">
      <alignment horizontal="left" vertical="center"/>
    </xf>
    <xf numFmtId="164" fontId="3" fillId="4" borderId="0" pivotButton="0" quotePrefix="0" xfId="0"/>
    <xf numFmtId="165" fontId="3" fillId="4" borderId="0" pivotButton="0" quotePrefix="0" xfId="0"/>
    <xf numFmtId="164" fontId="3" fillId="0" borderId="0" pivotButton="0" quotePrefix="0" xfId="0"/>
    <xf numFmtId="0" fontId="3" fillId="5" borderId="0" pivotButton="0" quotePrefix="0" xfId="0"/>
    <xf numFmtId="0" fontId="3" fillId="0" borderId="0" pivotButton="0" quotePrefix="0" xfId="0"/>
    <xf numFmtId="0" fontId="3" fillId="4" borderId="0" pivotButton="0" quotePrefix="0" xfId="0"/>
    <xf numFmtId="166" fontId="3" fillId="4" borderId="0" pivotButton="0" quotePrefix="0" xfId="0"/>
    <xf numFmtId="0" fontId="5" fillId="2" borderId="6" applyAlignment="1" pivotButton="0" quotePrefix="0" xfId="0">
      <alignment horizontal="center"/>
    </xf>
    <xf numFmtId="0" fontId="0" fillId="0" borderId="8" pivotButton="0" quotePrefix="0" xfId="0"/>
    <xf numFmtId="0" fontId="0" fillId="0" borderId="9" pivotButton="0" quotePrefix="0" xfId="0"/>
    <xf numFmtId="0" fontId="1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dxfs count="2">
    <dxf>
      <font>
        <name val="Aptos Narrow"/>
        <charset val="1"/>
        <family val="2"/>
        <color rgb="FF000000"/>
        <sz val="11"/>
      </font>
      <alignment horizontal="general" vertical="bottom"/>
    </dxf>
    <dxf>
      <fill>
        <patternFill>
          <bgColor theme="0" tint="-0.149998474074526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15803D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8D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5C518"/>
      <rgbColor rgb="FFFF9900"/>
      <rgbColor rgb="FFFF6600"/>
      <rgbColor rgb="FF467886"/>
      <rgbColor rgb="FF969696"/>
      <rgbColor rgb="FF16384F"/>
      <rgbColor rgb="FF339966"/>
      <rgbColor rgb="FF003300"/>
      <rgbColor rgb="FF333300"/>
      <rgbColor rgb="FFB45309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Unknown Author</author>
  </authors>
  <commentList>
    <comment ref="J23" authorId="0" shapeId="0">
      <text>
        <t>Matt Kopsky:
county</t>
      </text>
    </comment>
    <comment ref="K23" authorId="0" shapeId="0">
      <text>
        <t>Matt Kopsky:
school</t>
      </text>
    </comment>
    <comment ref="G38" authorId="0" shapeId="0">
      <text>
        <t>Matt Kopsky:
three taxing authorities: City of Bowling Green, Warren County and School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county-taxes.net/fl-clay/property-tax/Y2xheTpyZWFsX2VzdGF0ZTpwYXJlbnRzOjM2OTQwMzc0LTM0N2MtMTFlZC05NzQ1LThlM2ZlZjFhN2Q3MQ==" TargetMode="External" Id="rId1"/><Relationship Type="http://schemas.openxmlformats.org/officeDocument/2006/relationships/hyperlink" Target="https://county-taxes.net/fl-clay/fl-clay/property-tax/Y2xheTpyZWFsX2VzdGF0ZTpwYXJlbnRzOjUwMWFhMGI0LTM0N2MtMTFlZC1hZmNhLTMzN2E4MWM5MGY1MA==" TargetMode="External" Id="rId2"/><Relationship Type="http://schemas.openxmlformats.org/officeDocument/2006/relationships/hyperlink" Target="https://ptaxweb.putnamtax.com/ptaxweb/editPropertySearch2.action" TargetMode="External" Id="rId3"/><Relationship Type="http://schemas.openxmlformats.org/officeDocument/2006/relationships/hyperlink" Target="https://www.stjohnstax.us/PropertyDetail?p=173800-0030&amp;y=2024&amp;b=127955.0000" TargetMode="External" Id="rId4"/><Relationship Type="http://schemas.openxmlformats.org/officeDocument/2006/relationships/hyperlink" Target="https://pbctax.publicaccessnow.com/PropertyTax/Account/BillDetail.aspx?p=74-43-43-21-01-043-0050&amp;t=Real%20Property&amp;a=1418360&amp;b=26795046&amp;y=2024&amp;n=101606030" TargetMode="External" Id="rId5"/><Relationship Type="http://schemas.openxmlformats.org/officeDocument/2006/relationships/hyperlink" Target="https://pinellastaxcollector.gov/property-tax/" TargetMode="External" Id="rId6"/><Relationship Type="http://schemas.openxmlformats.org/officeDocument/2006/relationships/hyperlink" Target="http://www.broward.org/" TargetMode="External" Id="rId7"/><Relationship Type="http://schemas.openxmlformats.org/officeDocument/2006/relationships/hyperlink" Target="https://county-taxes.net/fl-collier/property-tax/Y29sbGllcjpyZWFsX2VzdGF0ZTpwYXJlbnRzOmQ0MzUyMmQ5LWU1MDgtMTFlYi1hODBmLTAwNTA1NjgxYTJiNw==" TargetMode="External" Id="rId8"/><Relationship Type="http://schemas.openxmlformats.org/officeDocument/2006/relationships/hyperlink" Target="https://www.pbctax.com/real-estate-property-tax/" TargetMode="External" Id="rId9"/><Relationship Type="http://schemas.openxmlformats.org/officeDocument/2006/relationships/hyperlink" Target="https://common2.mptsweb.com/MBC/lake/tax/main/026301280000/2024/0000" TargetMode="External" Id="rId10"/><Relationship Type="http://schemas.openxmlformats.org/officeDocument/2006/relationships/hyperlink" Target="https://parcelinquirytreasurer.cochise.az.gov/Parcel/PaymentHistory?parcelNumber=40909081D0&amp;taxYear=2024" TargetMode="External" Id="rId11"/><Relationship Type="http://schemas.openxmlformats.org/officeDocument/2006/relationships/hyperlink" Target="http://www.to.pima.gov/" TargetMode="External" Id="rId12"/><Relationship Type="http://schemas.openxmlformats.org/officeDocument/2006/relationships/hyperlink" Target="https://www.bernco.gov/treasurer/paying-your-property-taxes-overview/" TargetMode="External" Id="rId13"/><Relationship Type="http://schemas.openxmlformats.org/officeDocument/2006/relationships/hyperlink" Target="https://www.hennepin.us/propertytaxpayments/" TargetMode="External" Id="rId14"/><Relationship Type="http://schemas.openxmlformats.org/officeDocument/2006/relationships/hyperlink" Target="https://tax.egov.basgov.com/riverhead/TaxBill/BillDetailsPaymentOptions?TaxBillID=93938c45-39ac-ef11-9968-509a4c486007" TargetMode="External" Id="rId15"/><Relationship Type="http://schemas.openxmlformats.org/officeDocument/2006/relationships/hyperlink" Target="https://tax.egov.basgov.com/riverhead/TaxBill/BillDetailsPaymentOptions?TaxBillID=93938c45-39ac-ef11-9968-509a4c486007" TargetMode="External" Id="rId16"/><Relationship Type="http://schemas.openxmlformats.org/officeDocument/2006/relationships/hyperlink" Target="https://chesterfield.virginiainteractive.org/Treasurer/Main" TargetMode="External" Id="rId17"/><Relationship Type="http://schemas.openxmlformats.org/officeDocument/2006/relationships/hyperlink" Target="https://pay.vbepay.com/Citizen/ViewAccount/364817" TargetMode="External" Id="rId18"/><Relationship Type="http://schemas.openxmlformats.org/officeDocument/2006/relationships/hyperlink" Target="https://publicaccess.dekalbtax.org/Datalets/Datalet.aspx?sIndex=2&amp;idx=1" TargetMode="External" Id="rId19"/><Relationship Type="http://schemas.openxmlformats.org/officeDocument/2006/relationships/hyperlink" Target="https://muscogeecountyga.governmentwindow.com/select_bill.html?search_mode=search2&amp;tax_year=2018&amp;name=&amp;map_code=085+008+002&amp;address=" TargetMode="External" Id="rId20"/><Relationship Type="http://schemas.openxmlformats.org/officeDocument/2006/relationships/hyperlink" Target="https://www.fultoncountytaxes.org/propertytax/summary/17%20000600030484" TargetMode="External" Id="rId21"/><Relationship Type="http://schemas.openxmlformats.org/officeDocument/2006/relationships/hyperlink" Target="https://wipp.edmundsassoc.com/Wipp/?wippid=0417" TargetMode="External" Id="rId22"/><Relationship Type="http://schemas.openxmlformats.org/officeDocument/2006/relationships/hyperlink" Target="http://www.solanocounty.com/" TargetMode="External" Id="rId23"/><Relationship Type="http://schemas.openxmlformats.org/officeDocument/2006/relationships/hyperlink" Target="http://www.solanocounty.com/" TargetMode="External" Id="rId24"/><Relationship Type="http://schemas.openxmlformats.org/officeDocument/2006/relationships/hyperlink" Target="http://www.solanocounty.com/" TargetMode="External" Id="rId25"/><Relationship Type="http://schemas.openxmlformats.org/officeDocument/2006/relationships/hyperlink" Target="https://common3.mptsweb.com/MBC/eldorado/tax/main/327130040000/2024/0000" TargetMode="External" Id="rId26"/><Relationship Type="http://schemas.openxmlformats.org/officeDocument/2006/relationships/hyperlink" Target="https://common3.mptsweb.com/MBC/placer/tax/main/048520006000/2024/0000" TargetMode="External" Id="rId27"/><Relationship Type="http://schemas.openxmlformats.org/officeDocument/2006/relationships/hyperlink" Target="https://common3.mptsweb.com/MBC/tuolumne/tax/main/001201010000/2024/0000" TargetMode="External" Id="rId28"/><Relationship Type="http://schemas.openxmlformats.org/officeDocument/2006/relationships/hyperlink" Target="http://www.rpso.org/" TargetMode="External" Id="rId29"/><Relationship Type="http://schemas.openxmlformats.org/officeDocument/2006/relationships/hyperlink" Target="https://snstaxpayments.com/ebr" TargetMode="External" Id="rId30"/><Relationship Type="http://schemas.openxmlformats.org/officeDocument/2006/relationships/hyperlink" Target="https://snstaxpayments.com/calcasieu" TargetMode="External" Id="rId31"/><Relationship Type="http://schemas.openxmlformats.org/officeDocument/2006/relationships/hyperlink" Target="https://snstaxpayments.com/stlandry" TargetMode="External" Id="rId32"/><Relationship Type="http://schemas.openxmlformats.org/officeDocument/2006/relationships/hyperlink" Target="https://www.bgky.org/property-tax-search/invoices/156635" TargetMode="External" Id="rId33"/><Relationship Type="http://schemas.openxmlformats.org/officeDocument/2006/relationships/hyperlink" Target="https://www.bgky.org/property-tax-search/invoices/156635" TargetMode="External" Id="rId34"/><Relationship Type="http://schemas.openxmlformats.org/officeDocument/2006/relationships/hyperlink" Target="https://services.wake.gov/ptax/main/billing/acctsummary.aspx?search=acct&amp;yrs=2&amp;id=229546" TargetMode="External" Id="rId35"/><Relationship Type="http://schemas.openxmlformats.org/officeDocument/2006/relationships/hyperlink" Target="https://bcpwa.ncptscloud.com/guilfordtax/BillDetails.aspx?BillPk=11242368" TargetMode="External" Id="rId36"/><Relationship Type="http://schemas.openxmlformats.org/officeDocument/2006/relationships/hyperlink" Target="http://www.co.cumberland.nc.us/tax/payments/" TargetMode="External" Id="rId37"/><Relationship Type="http://schemas.openxmlformats.org/officeDocument/2006/relationships/hyperlink" Target="https://secure.webtaxpay.com/?county=franklin&amp;state=NC" TargetMode="External" Id="rId38"/><Relationship Type="http://schemas.openxmlformats.org/officeDocument/2006/relationships/hyperlink" Target="http://taxweb.guilfordcountync.gov/PublicWebAccess/" TargetMode="External" Id="rId39"/><Relationship Type="http://schemas.openxmlformats.org/officeDocument/2006/relationships/hyperlink" Target="http://taxweb.guilfordcountync.gov/PublicWebAccess/" TargetMode="External" Id="rId40"/><Relationship Type="http://schemas.openxmlformats.org/officeDocument/2006/relationships/hyperlink" Target="http://www.forsyth.cc/tax/taxbill.aspx" TargetMode="External" Id="rId41"/><Relationship Type="http://schemas.openxmlformats.org/officeDocument/2006/relationships/hyperlink" Target="http://www.wakegov.com/tax/Pages/default.aspx" TargetMode="External" Id="rId42"/><Relationship Type="http://schemas.openxmlformats.org/officeDocument/2006/relationships/hyperlink" Target="https://nashcountync.gov/498/Tax-Payments" TargetMode="External" Id="rId43"/><Relationship Type="http://schemas.openxmlformats.org/officeDocument/2006/relationships/hyperlink" Target="http://www.forsyth.cc/tax/taxbill.aspx" TargetMode="External" Id="rId44"/><Relationship Type="http://schemas.openxmlformats.org/officeDocument/2006/relationships/hyperlink" Target="https://publicaccess.claytoncountyga.gov/search/CommonSearch.aspx?mode=REALPROP" TargetMode="External" Id="rId45"/><Relationship Type="http://schemas.openxmlformats.org/officeDocument/2006/relationships/hyperlink" Target="https://publicaccess.claytoncountyga.gov/search/CommonSearch.aspx?mode=REALPROP" TargetMode="External" Id="rId46"/><Relationship Type="http://schemas.openxmlformats.org/officeDocument/2006/relationships/hyperlink" Target="http://www.taylor-cad.org/" TargetMode="External" Id="rId47"/><Relationship Type="http://schemas.openxmlformats.org/officeDocument/2006/relationships/hyperlink" Target="http://iswdataclient.azurewebsites.net/webSearchID.aspx?dbkey=midlandcad" TargetMode="External" Id="rId48"/><Relationship Type="http://schemas.openxmlformats.org/officeDocument/2006/relationships/hyperlink" Target="https://ascent.co.manitowoc.wi.us/LandRecords/PropertyListing/RealEstateTaxParcel" TargetMode="External" Id="rId49"/><Relationship Type="http://schemas.openxmlformats.org/officeDocument/2006/relationships/hyperlink" Target="https://esearch.hctax.info/Property/View/23748?year=2024&amp;ownerId=1385747" TargetMode="External" Id="rId50"/><Relationship Type="http://schemas.openxmlformats.org/officeDocument/2006/relationships/hyperlink" Target="https://taxweb.dentoncounty.gov/Accounts/AccountDetails?taxAccountNumber=204320DEN" TargetMode="External" Id="rId51"/><Relationship Type="http://schemas.openxmlformats.org/officeDocument/2006/relationships/hyperlink" Target="https://county-taxes.net/hillsborough/hillsborough/property-tax/aGlsbHNib3JvdWdoOnJlYWxfZXN0YXRlOnBhcmVudHM6ZjYxM2RkNGQtZTUwOS0xMWViLWFmNmMtMDA1MDU2ODFiMmNm/bills/b3f75606-85a3-11ef-b227-00505681f4ed" TargetMode="External" Id="rId52"/><Relationship Type="http://schemas.openxmlformats.org/officeDocument/2006/relationships/hyperlink" Target="https://county-taxes.net/charlotte/property-tax/Y2hhcmxvdHRlOnJlYWxfZXN0YXRlOnBhcmVudHM6ZmRhZjExNTEtZTUwOS0xMWViLTk1NGItMDA1MDU2ODFjYmE3" TargetMode="External" Id="rId53"/><Relationship Type="http://schemas.openxmlformats.org/officeDocument/2006/relationships/hyperlink" Target="https://county-taxes.net/fl-pasco/property-tax/cGFzY286cmVhbF9lc3RhdGU6cGFyZW50czpiYTM1MjBmMS1lMzY4LTExZWItOGVkMi0wMDUwNTY4MWFmMWU=" TargetMode="External" Id="rId54"/><Relationship Type="http://schemas.openxmlformats.org/officeDocument/2006/relationships/hyperlink" Target="https://county-taxes.net/pinellas/property-tax/cGluZWxsYXM6cmVhbF9lc3RhdGU6cGFyZW50czpiYTYyMzFiZC1lMzY4LTExZWItOTRkMS0wMDUwNTY4MTUwMjg=" TargetMode="External" Id="rId55"/><Relationship Type="http://schemas.openxmlformats.org/officeDocument/2006/relationships/hyperlink" Target="https://county-taxes.net/broward/property-tax/YnJvd2FyZDpyZWFsX2VzdGF0ZTpwYXJlbnRzOjAxMDNkNzlhLWU1MGEtMTFlYi1iYTM4LTAwNTA1NjgxOTMzNA==" TargetMode="External" Id="rId56"/><Relationship Type="http://schemas.openxmlformats.org/officeDocument/2006/relationships/hyperlink" Target="https://county-taxes.net/indianriver/property-tax/aW5kaWFucml2ZXI6cmVhbF9lc3RhdGU6cGFyZW50czpmNDJjMWJhOC1lNTA5LTExZWItOTQ2Ny0wMDUwNTY4MTg3MTA=" TargetMode="External" Id="rId57"/><Relationship Type="http://schemas.openxmlformats.org/officeDocument/2006/relationships/hyperlink" Target="https://county-taxes.net/fl-flagler/property-tax/ZmxhZ2xlcjpyZWFsX2VzdGF0ZTpwYXJlbnRzOmY0MDMyY2JlLWU1MDktMTFlYi05NDY3LTAwNTA1NjgxODcxMA==" TargetMode="External" Id="rId58"/><Relationship Type="http://schemas.openxmlformats.org/officeDocument/2006/relationships/hyperlink" Target="https://broward.county-taxes.com/public/search/property_tax?action_location=Landing+Page" TargetMode="External" Id="rId59"/><Relationship Type="http://schemas.openxmlformats.org/officeDocument/2006/relationships/hyperlink" Target="https://miamidade.county-taxes.com/public" TargetMode="External" Id="rId60"/><Relationship Type="http://schemas.openxmlformats.org/officeDocument/2006/relationships/hyperlink" Target="https://miamidade.county-taxes.com/public" TargetMode="External" Id="rId6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4"/>
  <sheetViews>
    <sheetView zoomScaleNormal="100" workbookViewId="0">
      <selection activeCell="A1" sqref="A1"/>
    </sheetView>
  </sheetViews>
  <sheetFormatPr baseColWidth="8" defaultColWidth="8.42578125" defaultRowHeight="15"/>
  <cols>
    <col width="56" customWidth="1" min="1" max="1"/>
    <col width="110" customWidth="1" min="2" max="2"/>
  </cols>
  <sheetData>
    <row r="1" ht="19.7" customHeight="1">
      <c r="A1" s="67" t="inlineStr">
        <is>
          <t>Pontus Property Tax — Master Template</t>
        </is>
      </c>
    </row>
    <row r="2" ht="31.5" customHeight="1">
      <c r="A2" s="2" t="n"/>
      <c r="B2" s="3" t="n"/>
    </row>
    <row r="3" ht="15" customHeight="1">
      <c r="A3" s="67" t="inlineStr">
        <is>
          <t>How to read this template</t>
        </is>
      </c>
    </row>
    <row r="4" ht="31.5" customHeight="1">
      <c r="A4" s="2" t="n"/>
      <c r="B4" s="3" t="inlineStr">
        <is>
          <t>Row 2 names the two bands: 'Pontus System Report' (A–X) is everything analysts maintain — original tracker plus BOV and jurisdiction links. 'Model System Output' (Y–AB) is filled BY THE CHECKER on every run, except column AA (Actual assessment), which stays analyst-filled. Row 3 carries section sub-labels; row 4 is the field-header row; data starts on row 5.</t>
        </is>
      </c>
    </row>
    <row r="5" ht="31.5" customHeight="1">
      <c r="A5" s="2" t="n"/>
      <c r="B5" s="3" t="n"/>
    </row>
    <row r="6" ht="15" customHeight="1">
      <c r="A6" s="67" t="inlineStr">
        <is>
          <t>Pontus System Report — analyst-maintained (A–X)</t>
        </is>
      </c>
    </row>
    <row r="7" ht="31.5" customHeight="1">
      <c r="A7" s="2" t="n"/>
      <c r="B7" s="3" t="inlineStr">
        <is>
          <t>Original tracker (A–R)</t>
        </is>
      </c>
    </row>
    <row r="8" ht="31.5" customHeight="1">
      <c r="A8" s="2" t="n"/>
      <c r="B8" s="3" t="inlineStr">
        <is>
          <t xml:space="preserve">    Address, City, ST, Zip, Owner Entity, PID, Account #, # Installments, Early Bird, #1..#4, Paid Confirmation, Responsible Party, Taxing Authority, Phone, Website. The checker READS these to identify the property and locate the portal; it does NOT write to A–R.</t>
        </is>
      </c>
    </row>
    <row r="9" ht="31.5" customHeight="1">
      <c r="A9" s="2" t="n"/>
      <c r="B9" s="3" t="inlineStr">
        <is>
          <t>BOV high / mid / low (S–U)</t>
        </is>
      </c>
    </row>
    <row r="10" ht="31.5" customHeight="1">
      <c r="A10" s="2" t="n"/>
      <c r="B10" s="3" t="inlineStr">
        <is>
          <t xml:space="preserve">    Broker's three-point opinion of value. Analyst-filled. Used downstream for appeal-candidate review.</t>
        </is>
      </c>
    </row>
    <row r="11" ht="31.5" customHeight="1">
      <c r="A11" s="2" t="n"/>
      <c r="B11" s="3" t="inlineStr">
        <is>
          <t>Jurisdiction link primary / secondary / tertiary (V–X)</t>
        </is>
      </c>
    </row>
    <row r="12" ht="15" customHeight="1">
      <c r="A12" s="4" t="n"/>
      <c r="B12" s="68" t="inlineStr">
        <is>
          <t xml:space="preserve">    Primary = county tax authority URL. Secondary = city/municipality. Tertiary = special districts (fire, water, school). Most rows have only the primary link populated.</t>
        </is>
      </c>
    </row>
    <row r="13" ht="31.5" customHeight="1">
      <c r="A13" s="2" t="n"/>
      <c r="B13" s="3" t="n"/>
    </row>
    <row r="14" ht="31.5" customHeight="1">
      <c r="A14" s="67" t="inlineStr">
        <is>
          <t>Model System Output — written by the checker (Y, Z, AB) — cream background</t>
        </is>
      </c>
      <c r="B14" s="3" t="n"/>
    </row>
    <row r="15" ht="31.5" customHeight="1">
      <c r="A15" s="2" t="n"/>
      <c r="B15" s="3" t="inlineStr">
        <is>
          <t>Payment amount (Y)</t>
        </is>
      </c>
    </row>
    <row r="16" ht="31.5" customHeight="1">
      <c r="A16" s="2" t="n"/>
      <c r="B16" s="3" t="inlineStr">
        <is>
          <t xml:space="preserve">    What was actually paid at the county. Often less than the gross bill because of early-payment discounts (FL: 4% Nov, 3% Dec, 2% Jan, 1% Feb).</t>
        </is>
      </c>
    </row>
    <row r="17" ht="31.5" customHeight="1">
      <c r="A17" s="2" t="n"/>
      <c r="B17" s="3" t="inlineStr">
        <is>
          <t>Payment date (Z)</t>
        </is>
      </c>
    </row>
    <row r="18" ht="31.5" customHeight="1">
      <c r="A18" s="2" t="n"/>
      <c r="B18" s="3" t="inlineStr">
        <is>
          <t xml:space="preserve">    Date the payment was posted at the county. Real Excel date.</t>
        </is>
      </c>
    </row>
    <row r="19" ht="31.5" customHeight="1">
      <c r="A19" s="2" t="n"/>
      <c r="B19" s="3" t="inlineStr">
        <is>
          <t>Confidence (AB)</t>
        </is>
      </c>
    </row>
    <row r="20" ht="31.5" customHeight="1">
      <c r="A20" s="2" t="n"/>
      <c r="B20" s="3" t="inlineStr">
        <is>
          <t xml:space="preserve">    HIGH / MEDIUM / LOW — informational, written every run, even for NEEDS_REVIEW or LOW rows. Blank means the row was never checked.</t>
        </is>
      </c>
    </row>
    <row r="21" ht="15" customHeight="1">
      <c r="A21" s="4" t="n"/>
    </row>
    <row r="22" ht="31.5" customHeight="1">
      <c r="A22" s="67" t="inlineStr">
        <is>
          <t>Actual assessment (AA) — analyst-filled today, Stage 2 may scrape</t>
        </is>
      </c>
      <c r="B22" s="3" t="n"/>
    </row>
    <row r="23" ht="31.5" customHeight="1">
      <c r="A23" s="2" t="n"/>
      <c r="B23" s="3" t="inlineStr">
        <is>
          <t xml:space="preserve">    County's assessed value (the official roll value). Lives inside the Model System Output band but the checker currently leaves it alone; a future Stage 2 may scrape this from assessor sites where exposed.</t>
        </is>
      </c>
    </row>
    <row r="24" ht="31.5" customHeight="1">
      <c r="A24" s="2" t="n"/>
      <c r="B24" s="3" t="n"/>
    </row>
    <row r="25" ht="31.5" customHeight="1">
      <c r="A25" s="67" t="inlineStr">
        <is>
          <t>Last run notes (created on first run, rightmost column)</t>
        </is>
      </c>
      <c r="B25" s="3" t="n"/>
    </row>
    <row r="26" ht="15" customHeight="1">
      <c r="A26" s="4" t="n"/>
      <c r="B26" s="68" t="inlineStr">
        <is>
          <t xml:space="preserve">    One human-readable sentence per row, overwritten cleanly every run. PAID / DELINQUENT / NEEDS REVIEW / NOT CHECKED, plus any portal-receipt corrections ('corrected payment date from X to Y per portal receipt').</t>
        </is>
      </c>
    </row>
    <row r="27" ht="31.5" customHeight="1">
      <c r="A27" s="2" t="n"/>
      <c r="B27" s="3" t="n"/>
    </row>
    <row r="28" ht="31.5" customHeight="1">
      <c r="A28" s="67" t="inlineStr">
        <is>
          <t>Open questions to resolve with Michael</t>
        </is>
      </c>
      <c r="B28" s="3" t="n"/>
    </row>
    <row r="29" ht="15" customHeight="1">
      <c r="A29" s="4" t="n"/>
      <c r="B29" s="68" t="inlineStr">
        <is>
          <t>Appeal logic</t>
        </is>
      </c>
    </row>
    <row r="30" ht="31.5" customHeight="1">
      <c r="A30" s="2" t="n"/>
      <c r="B30" s="3" t="inlineStr">
        <is>
          <t xml:space="preserve">    The earlier template carried Variance ($), Variance (%), and Appeal flag formula columns. They have been removed in this revision; if appeal triage stays in the spreadsheet, the formulas need to be re-added against the BOV columns and an Actual assessment baseline.</t>
        </is>
      </c>
    </row>
    <row r="31" ht="31.5" customHeight="1">
      <c r="A31" s="2" t="n"/>
      <c r="B31" s="3" t="inlineStr">
        <is>
          <t>BOV median aggregation</t>
        </is>
      </c>
    </row>
    <row r="32" ht="31.5" customHeight="1">
      <c r="A32" s="2" t="n"/>
      <c r="B32" s="3" t="inlineStr">
        <is>
          <t xml:space="preserve">    Earlier revision had separate 'BOV — Single Broker' and 'BOV — Median of Multiple' bands. This revision keeps only one BOV high/mid/low triple — confirm whether that is a single broker or a median across brokers.</t>
        </is>
      </c>
    </row>
    <row r="33">
      <c r="B33" s="68" t="inlineStr">
        <is>
          <t>Per-authority data</t>
        </is>
      </c>
    </row>
    <row r="34">
      <c r="B34" s="68" t="inlineStr">
        <is>
          <t xml:space="preserve">    Per-authority assessed values aren't visible on most portals. The Jurisdiction Links columns let analysts manually link out; auto-scraping per-authority is deferred.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C84"/>
  <sheetViews>
    <sheetView tabSelected="1" zoomScale="70" zoomScaleNormal="70" zoomScalePageLayoutView="70" workbookViewId="0">
      <pane xSplit="2" ySplit="4" topLeftCell="C5" activePane="bottomRight" state="frozen"/>
      <selection pane="topRight" activeCell="L1" sqref="L1"/>
      <selection pane="bottomLeft" activeCell="A4" sqref="A4"/>
      <selection pane="bottomRight" activeCell="L14" sqref="L14"/>
    </sheetView>
  </sheetViews>
  <sheetFormatPr baseColWidth="8" defaultColWidth="18" defaultRowHeight="15"/>
  <cols>
    <col width="26.28515625" customWidth="1" style="5" min="1" max="1"/>
    <col width="16" customWidth="1" style="6" min="2" max="2"/>
    <col outlineLevel="1" width="8.42578125" customWidth="1" style="6" min="3" max="3"/>
    <col outlineLevel="1" width="9.28515625" customWidth="1" style="6" min="4" max="4"/>
    <col outlineLevel="1" width="25.7109375" customWidth="1" style="6" min="5" max="5"/>
    <col outlineLevel="1" width="10.28515625" customWidth="1" style="6" min="6" max="6"/>
    <col outlineLevel="1" width="32.7109375" customWidth="1" style="6" min="7" max="7"/>
    <col outlineLevel="1" width="19" customWidth="1" style="6" min="8" max="8"/>
    <col width="23.7109375" customWidth="1" style="7" min="9" max="9"/>
    <col width="14.7109375" customWidth="1" style="8" min="10" max="10"/>
    <col width="23.28515625" customWidth="1" style="8" min="11" max="11"/>
    <col outlineLevel="1" width="23.28515625" customWidth="1" style="8" min="12" max="12"/>
    <col outlineLevel="1" width="23.28515625" customWidth="1" style="9" min="13" max="13"/>
    <col width="22.7109375" customWidth="1" style="6" min="14" max="14"/>
    <col width="22.28515625" customWidth="1" style="5" min="15" max="15"/>
    <col width="30.42578125" customWidth="1" style="5" min="16" max="16"/>
    <col width="21.28515625" customWidth="1" style="5" min="17" max="17"/>
    <col width="26.42578125" customWidth="1" style="6" min="18" max="18"/>
    <col width="18" customWidth="1" style="10" min="19" max="21"/>
    <col width="22.42578125" customWidth="1" style="10" min="22" max="24"/>
    <col width="18" customWidth="1" style="10" min="25" max="27"/>
    <col width="12" customWidth="1" min="28" max="28"/>
    <col width="18" customWidth="1" style="10" min="29" max="16384"/>
  </cols>
  <sheetData>
    <row r="1" ht="15" customHeight="1">
      <c r="A1" s="11">
        <f>TODAY()</f>
        <v/>
      </c>
      <c r="I1" s="12" t="n"/>
      <c r="J1" s="13" t="n"/>
      <c r="K1" s="13" t="n"/>
      <c r="L1" s="13" t="n"/>
      <c r="M1" s="14" t="n"/>
    </row>
    <row r="2" ht="15" customHeight="1">
      <c r="A2" s="11" t="inlineStr">
        <is>
          <t>System</t>
        </is>
      </c>
      <c r="C2" s="53" t="inlineStr">
        <is>
          <t>Pontus System Report</t>
        </is>
      </c>
      <c r="D2" s="53" t="n"/>
      <c r="E2" s="53" t="n"/>
      <c r="F2" s="53" t="n"/>
      <c r="G2" s="53" t="n"/>
      <c r="H2" s="53" t="n"/>
      <c r="I2" s="53" t="n"/>
      <c r="J2" s="53" t="n"/>
      <c r="K2" s="53" t="n"/>
      <c r="L2" s="53" t="n"/>
      <c r="M2" s="53" t="n"/>
      <c r="N2" s="53" t="n"/>
      <c r="O2" s="53" t="n"/>
      <c r="P2" s="53" t="n"/>
      <c r="Q2" s="53" t="n"/>
      <c r="R2" s="53" t="n"/>
      <c r="S2" s="53" t="n"/>
      <c r="T2" s="53" t="n"/>
      <c r="U2" s="53" t="n"/>
      <c r="V2" s="53" t="n"/>
      <c r="W2" s="53" t="n"/>
      <c r="X2" s="53" t="n"/>
      <c r="Y2" s="54" t="inlineStr">
        <is>
          <t>Model  System Output</t>
        </is>
      </c>
      <c r="Z2" s="54" t="n"/>
      <c r="AA2" s="55" t="n"/>
      <c r="AB2" s="54" t="n"/>
    </row>
    <row r="3" ht="15" customHeight="1">
      <c r="A3" s="64" t="inlineStr">
        <is>
          <t>Location</t>
        </is>
      </c>
      <c r="B3" s="65" t="n"/>
      <c r="C3" s="65" t="n"/>
      <c r="D3" s="66" t="n"/>
      <c r="E3" s="64" t="inlineStr">
        <is>
          <t>Business Plan</t>
        </is>
      </c>
      <c r="F3" s="66" t="n"/>
      <c r="G3" s="15" t="inlineStr">
        <is>
          <t>Property Tax</t>
        </is>
      </c>
      <c r="H3" s="16" t="n"/>
      <c r="I3" s="64" t="inlineStr">
        <is>
          <t>Due Date</t>
        </is>
      </c>
      <c r="J3" s="65" t="n"/>
      <c r="K3" s="65" t="n"/>
      <c r="L3" s="65" t="n"/>
      <c r="M3" s="66" t="n"/>
      <c r="N3" s="16" t="n"/>
      <c r="O3" s="45" t="n"/>
      <c r="P3" s="45" t="n"/>
      <c r="Q3" s="45" t="n"/>
      <c r="R3" s="17" t="n"/>
      <c r="S3" s="49" t="n"/>
      <c r="T3" s="49" t="n"/>
      <c r="U3" s="49" t="n"/>
      <c r="V3" s="50" t="n"/>
      <c r="W3" s="51" t="n"/>
      <c r="X3" s="51" t="n"/>
      <c r="Y3" s="49" t="n"/>
      <c r="Z3" s="49" t="n"/>
      <c r="AA3" s="50" t="n"/>
      <c r="AB3" s="49" t="n"/>
      <c r="AC3" s="52" t="n"/>
    </row>
    <row r="4" ht="15" customHeight="1">
      <c r="A4" s="18" t="inlineStr">
        <is>
          <t>Address</t>
        </is>
      </c>
      <c r="B4" s="19" t="inlineStr">
        <is>
          <t>City</t>
        </is>
      </c>
      <c r="C4" s="19" t="inlineStr">
        <is>
          <t>ST</t>
        </is>
      </c>
      <c r="D4" s="20" t="inlineStr">
        <is>
          <t>Zip</t>
        </is>
      </c>
      <c r="E4" s="18" t="inlineStr">
        <is>
          <t>Owner Entity</t>
        </is>
      </c>
      <c r="F4" s="19" t="inlineStr">
        <is>
          <t>PID</t>
        </is>
      </c>
      <c r="G4" s="21" t="inlineStr">
        <is>
          <t>Account #</t>
        </is>
      </c>
      <c r="H4" s="22" t="inlineStr">
        <is>
          <t># Installments</t>
        </is>
      </c>
      <c r="I4" s="23" t="inlineStr">
        <is>
          <t>Early Bird</t>
        </is>
      </c>
      <c r="J4" s="24" t="inlineStr">
        <is>
          <t>#1</t>
        </is>
      </c>
      <c r="K4" s="24" t="inlineStr">
        <is>
          <t>#2</t>
        </is>
      </c>
      <c r="L4" s="24" t="inlineStr">
        <is>
          <t>#3</t>
        </is>
      </c>
      <c r="M4" s="25" t="inlineStr">
        <is>
          <t>#4</t>
        </is>
      </c>
      <c r="N4" s="22" t="inlineStr">
        <is>
          <t>Paid Confirmation</t>
        </is>
      </c>
      <c r="O4" s="46" t="inlineStr">
        <is>
          <t>Responsible Party</t>
        </is>
      </c>
      <c r="P4" s="46" t="inlineStr">
        <is>
          <t>Taxing Authority</t>
        </is>
      </c>
      <c r="Q4" s="46" t="inlineStr">
        <is>
          <t>Phone</t>
        </is>
      </c>
      <c r="R4" s="22" t="inlineStr">
        <is>
          <t>Website</t>
        </is>
      </c>
      <c r="S4" s="26" t="inlineStr">
        <is>
          <t>BOV high</t>
        </is>
      </c>
      <c r="T4" s="26" t="inlineStr">
        <is>
          <t>BOV mid</t>
        </is>
      </c>
      <c r="U4" s="26" t="inlineStr">
        <is>
          <t>BOV low</t>
        </is>
      </c>
      <c r="V4" s="56" t="inlineStr">
        <is>
          <t>Jurisdiction link primary</t>
        </is>
      </c>
      <c r="W4" s="56" t="inlineStr">
        <is>
          <t>Jurisdiction link secondary</t>
        </is>
      </c>
      <c r="X4" s="56" t="inlineStr">
        <is>
          <t>Jurisdiction link tertiary</t>
        </is>
      </c>
      <c r="Y4" s="26" t="inlineStr">
        <is>
          <t>Payment amount</t>
        </is>
      </c>
      <c r="Z4" s="26" t="inlineStr">
        <is>
          <t>Payment date</t>
        </is>
      </c>
      <c r="AA4" s="26" t="inlineStr">
        <is>
          <t>Actual assessment</t>
        </is>
      </c>
      <c r="AB4" s="26" t="inlineStr">
        <is>
          <t>Confidence</t>
        </is>
      </c>
    </row>
    <row r="5" ht="15" customHeight="1">
      <c r="A5" s="27" t="inlineStr">
        <is>
          <t>4158 CR 218</t>
        </is>
      </c>
      <c r="B5" s="6" t="inlineStr">
        <is>
          <t>Middleburg</t>
        </is>
      </c>
      <c r="C5" s="6" t="inlineStr">
        <is>
          <t>FL</t>
        </is>
      </c>
      <c r="D5" s="28" t="n">
        <v>32068</v>
      </c>
      <c r="E5" s="29" t="inlineStr">
        <is>
          <t>PC Slices, LLC</t>
        </is>
      </c>
      <c r="F5" s="6" t="inlineStr">
        <is>
          <t>PS4158</t>
        </is>
      </c>
      <c r="G5" s="30" t="inlineStr">
        <is>
          <t>09-05-24-005954-056-00</t>
        </is>
      </c>
      <c r="H5" s="31" t="n">
        <v>1</v>
      </c>
      <c r="I5" s="12" t="n"/>
      <c r="J5" s="13" t="n">
        <v>46112</v>
      </c>
      <c r="K5" s="13" t="n"/>
      <c r="L5" s="13" t="n"/>
      <c r="M5" s="14" t="n"/>
      <c r="N5" s="13" t="n"/>
      <c r="O5" s="47" t="inlineStr">
        <is>
          <t>Perfect Pizza</t>
        </is>
      </c>
      <c r="P5" s="47" t="inlineStr">
        <is>
          <t xml:space="preserve">Clay County </t>
        </is>
      </c>
      <c r="Q5" s="47" t="n">
        <v>9042846320</v>
      </c>
      <c r="R5" s="32" t="inlineStr">
        <is>
          <t>https://county-taxes.net/fl-clay/property-tax/Y2xheTpyZWFsX2VzdGF0ZTpwYXJlbnRzOjM2OTQwMzc0LTM0N2MtMTFlZC05NzQ1LThlM2ZlZjFhN2Q3MQ==</t>
        </is>
      </c>
      <c r="S5" s="59" t="n">
        <v>3513000</v>
      </c>
      <c r="T5" s="59" t="n">
        <v>3055000</v>
      </c>
      <c r="U5" s="59" t="n">
        <v>2596000</v>
      </c>
      <c r="V5" s="61" t="inlineStr">
        <is>
          <t>https://county-taxes.net/fl-clay/property-tax/Y2xheTpyZWFsX2VzdGF0ZTpwYXJlbnRzOjM2OTQwMzc0LTM0N2MtMTFlZC05NzQ1LThlM2ZlZjFhN2Q3MQ==</t>
        </is>
      </c>
      <c r="W5" s="61" t="n"/>
      <c r="X5" s="61" t="n"/>
      <c r="Y5" s="57" t="n">
        <v>19937</v>
      </c>
      <c r="Z5" s="58" t="inlineStr">
        <is>
          <t>2025-11-15</t>
        </is>
      </c>
      <c r="AA5" s="59" t="n">
        <v>3666000</v>
      </c>
      <c r="AB5" s="60" t="inlineStr">
        <is>
          <t>HIGH</t>
        </is>
      </c>
    </row>
    <row r="6" ht="15" customHeight="1">
      <c r="A6" s="27" t="inlineStr">
        <is>
          <t>1210 Blanding Blvd.</t>
        </is>
      </c>
      <c r="B6" s="6" t="inlineStr">
        <is>
          <t>Orange Park</t>
        </is>
      </c>
      <c r="C6" s="6" t="inlineStr">
        <is>
          <t>FL</t>
        </is>
      </c>
      <c r="D6" s="28" t="n">
        <v>32073</v>
      </c>
      <c r="E6" s="29" t="inlineStr">
        <is>
          <t>PC Slices, LLC</t>
        </is>
      </c>
      <c r="F6" s="6" t="inlineStr">
        <is>
          <t>PS1210</t>
        </is>
      </c>
      <c r="G6" s="29" t="inlineStr">
        <is>
          <t>270425-020949-003-00</t>
        </is>
      </c>
      <c r="H6" s="6" t="n">
        <v>1</v>
      </c>
      <c r="J6" s="8" t="n">
        <v>46112</v>
      </c>
      <c r="N6" s="8" t="n"/>
      <c r="O6" s="5" t="inlineStr">
        <is>
          <t>Perfect Pizza</t>
        </is>
      </c>
      <c r="P6" s="5" t="inlineStr">
        <is>
          <t xml:space="preserve">Clay County </t>
        </is>
      </c>
      <c r="Q6" s="5" t="n">
        <v>9042846320</v>
      </c>
      <c r="R6" s="33" t="inlineStr">
        <is>
          <t>https://county-taxes.net/fl-clay/fl-clay/property-tax/Y2xheTpyZWFsX2VzdGF0ZTpwYXJlbnRzOjUwMWFhMGI0LTM0N2MtMTFlZC1hZmNhLTMzN2E4MWM5MGY1MA==</t>
        </is>
      </c>
      <c r="S6" s="59" t="n">
        <v>4003000</v>
      </c>
      <c r="T6" s="59" t="n">
        <v>3481000</v>
      </c>
      <c r="U6" s="59" t="n">
        <v>2958000</v>
      </c>
      <c r="V6" s="61" t="inlineStr">
        <is>
          <t>https://county-taxes.net/fl-clay/fl-clay/property-tax/Y2xheTpyZWFsX2VzdGF0ZTpwYXJlbnRzOjUwMWFhMGI0LTM0N2MtMTFlZC1hZmNhLTMzN2E4MWM5MGY1MA==</t>
        </is>
      </c>
      <c r="W6" s="61" t="n"/>
      <c r="X6" s="61" t="n"/>
      <c r="Y6" s="57" t="n">
        <v>9778</v>
      </c>
      <c r="Z6" s="58" t="inlineStr">
        <is>
          <t>2025-11-27</t>
        </is>
      </c>
      <c r="AA6" s="59" t="n">
        <v>3899000</v>
      </c>
      <c r="AB6" s="60" t="n"/>
    </row>
    <row r="7" ht="15" customHeight="1">
      <c r="A7" s="27" t="inlineStr">
        <is>
          <t>1602 Reid Street</t>
        </is>
      </c>
      <c r="B7" s="6" t="inlineStr">
        <is>
          <t>Palatka</t>
        </is>
      </c>
      <c r="C7" s="6" t="inlineStr">
        <is>
          <t>FL</t>
        </is>
      </c>
      <c r="D7" s="28" t="n">
        <v>32177</v>
      </c>
      <c r="E7" s="29" t="inlineStr">
        <is>
          <t>PC Slices, LLC</t>
        </is>
      </c>
      <c r="F7" s="6" t="inlineStr">
        <is>
          <t>PS1602</t>
        </is>
      </c>
      <c r="G7" s="29" t="inlineStr">
        <is>
          <t>37-10-26-6850-3040-0100</t>
        </is>
      </c>
      <c r="H7" s="6" t="n">
        <v>1</v>
      </c>
      <c r="J7" s="8" t="n">
        <v>46112</v>
      </c>
      <c r="N7" s="8" t="n"/>
      <c r="O7" s="5" t="inlineStr">
        <is>
          <t>MVM</t>
        </is>
      </c>
      <c r="P7" s="5" t="inlineStr">
        <is>
          <t>Putnam County</t>
        </is>
      </c>
      <c r="Q7" s="5" t="n">
        <v>3863290282</v>
      </c>
      <c r="R7" s="33" t="inlineStr">
        <is>
          <t>https://ptaxweb.putnamtax.com/ptaxweb/editPropertySearch2.action</t>
        </is>
      </c>
      <c r="S7" s="59" t="n">
        <v>3972000</v>
      </c>
      <c r="T7" s="59" t="n">
        <v>3454000</v>
      </c>
      <c r="U7" s="59" t="n">
        <v>2935000</v>
      </c>
      <c r="V7" s="61" t="inlineStr">
        <is>
          <t>https://ptaxweb.putnamtax.com/ptaxweb/editPropertySearch2.action</t>
        </is>
      </c>
      <c r="W7" s="61" t="n"/>
      <c r="X7" s="61" t="n"/>
      <c r="Y7" s="57" t="n">
        <v>9088</v>
      </c>
      <c r="Z7" s="58" t="inlineStr">
        <is>
          <t>2025-12-22</t>
        </is>
      </c>
      <c r="AA7" s="59" t="n">
        <v>3731000</v>
      </c>
      <c r="AB7" s="60" t="n"/>
    </row>
    <row r="8" ht="15" customHeight="1">
      <c r="A8" s="27" t="inlineStr">
        <is>
          <t>3570 S US 1</t>
        </is>
      </c>
      <c r="B8" s="6" t="inlineStr">
        <is>
          <t>Saint Augustine</t>
        </is>
      </c>
      <c r="C8" s="6" t="inlineStr">
        <is>
          <t>FL</t>
        </is>
      </c>
      <c r="D8" s="28" t="n">
        <v>32084</v>
      </c>
      <c r="E8" s="29" t="inlineStr">
        <is>
          <t>PC Slices, LLC</t>
        </is>
      </c>
      <c r="F8" s="6" t="inlineStr">
        <is>
          <t>PS3570</t>
        </is>
      </c>
      <c r="G8" s="29" t="inlineStr">
        <is>
          <t>173800-0030</t>
        </is>
      </c>
      <c r="H8" s="6" t="n">
        <v>1</v>
      </c>
      <c r="J8" s="8" t="n">
        <v>46112</v>
      </c>
      <c r="N8" s="8" t="n"/>
      <c r="O8" s="5" t="inlineStr">
        <is>
          <t>Perfect Pizza</t>
        </is>
      </c>
      <c r="P8" s="5" t="inlineStr">
        <is>
          <t>St. Johns County</t>
        </is>
      </c>
      <c r="Q8" s="5" t="n">
        <v>9042092250</v>
      </c>
      <c r="R8" s="33" t="inlineStr">
        <is>
          <t>https://www.stjohnstax.us/PropertyDetail?p=173800-0030&amp;y=2024&amp;b=127955.0000</t>
        </is>
      </c>
      <c r="S8" s="59" t="n">
        <v>2679000</v>
      </c>
      <c r="T8" s="59" t="n">
        <v>2330000</v>
      </c>
      <c r="U8" s="59" t="n">
        <v>1980000</v>
      </c>
      <c r="V8" s="61" t="inlineStr">
        <is>
          <t>https://www.stjohnstax.us/PropertyDetail?p=173800-0030&amp;y=2024&amp;b=127955.0000</t>
        </is>
      </c>
      <c r="W8" s="61" t="inlineStr">
        <is>
          <t>https://example.com/x/property-7</t>
        </is>
      </c>
      <c r="X8" s="61" t="n"/>
      <c r="Y8" s="57" t="n">
        <v>21840</v>
      </c>
      <c r="Z8" s="58" t="inlineStr">
        <is>
          <t>2025-11-26</t>
        </is>
      </c>
      <c r="AA8" s="59" t="n">
        <v>2377000</v>
      </c>
      <c r="AB8" s="60" t="n"/>
    </row>
    <row r="9" ht="15" customHeight="1">
      <c r="A9" s="27" t="inlineStr">
        <is>
          <t>950 Evernia St</t>
        </is>
      </c>
      <c r="B9" s="6" t="inlineStr">
        <is>
          <t>West Palm Beach</t>
        </is>
      </c>
      <c r="C9" s="6" t="inlineStr">
        <is>
          <t>FL</t>
        </is>
      </c>
      <c r="D9" s="28" t="n">
        <v>33401</v>
      </c>
      <c r="E9" s="29" t="inlineStr">
        <is>
          <t>Pontus EHC Palm Beach, LLC</t>
        </is>
      </c>
      <c r="F9" s="6" t="inlineStr">
        <is>
          <t>EHC950</t>
        </is>
      </c>
      <c r="G9" s="29" t="n">
        <v>101606030</v>
      </c>
      <c r="H9" s="6" t="n">
        <v>1</v>
      </c>
      <c r="I9" s="7" t="n">
        <v>46356</v>
      </c>
      <c r="J9" s="8" t="n">
        <v>46112</v>
      </c>
      <c r="N9" s="8" t="n"/>
      <c r="O9" s="5" t="inlineStr">
        <is>
          <t>Ethema</t>
        </is>
      </c>
      <c r="R9" s="33" t="inlineStr">
        <is>
          <t>https://pbctax.publicaccessnow.com/PropertyTax/Account/BillDetail.aspx?p=74-43-43-21-01-043-0050&amp;t=Real%20Property&amp;a=1418360&amp;b=26795046&amp;y=2024&amp;n=101606030</t>
        </is>
      </c>
      <c r="S9" s="59" t="n">
        <v>2831000</v>
      </c>
      <c r="T9" s="59" t="n">
        <v>2462000</v>
      </c>
      <c r="U9" s="59" t="n">
        <v>2092000</v>
      </c>
      <c r="V9" s="61" t="inlineStr">
        <is>
          <t>https://pbctax.publicaccessnow.com/PropertyTax/Account/BillDetail.aspx?p=74-43-43-21-01-043-0050&amp;t=Real%20Property&amp;a=1418360&amp;b=26795046&amp;y=2024&amp;n=101606030</t>
        </is>
      </c>
      <c r="W9" s="61" t="n"/>
      <c r="X9" s="61" t="n"/>
      <c r="Y9" s="57" t="n">
        <v>9407</v>
      </c>
      <c r="Z9" s="58" t="inlineStr">
        <is>
          <t>2025-12-27</t>
        </is>
      </c>
      <c r="AA9" s="59" t="n">
        <v>2955000</v>
      </c>
      <c r="AB9" s="60" t="n"/>
    </row>
    <row r="10" ht="15" customHeight="1">
      <c r="A10" s="27" t="inlineStr">
        <is>
          <t>1 Valpak Avenue</t>
        </is>
      </c>
      <c r="B10" s="6" t="inlineStr">
        <is>
          <t>St. Petersburg</t>
        </is>
      </c>
      <c r="C10" s="6" t="inlineStr">
        <is>
          <t>FL</t>
        </is>
      </c>
      <c r="D10" s="28" t="n">
        <v>33716</v>
      </c>
      <c r="E10" s="29" t="inlineStr">
        <is>
          <t>Pontus PAK Tampa, LLC</t>
        </is>
      </c>
      <c r="F10" s="6" t="inlineStr">
        <is>
          <t>PAK1000</t>
        </is>
      </c>
      <c r="G10" s="29" t="inlineStr">
        <is>
          <t>R444958</t>
        </is>
      </c>
      <c r="H10" s="6" t="n">
        <v>1</v>
      </c>
      <c r="I10" s="7" t="n">
        <v>45991</v>
      </c>
      <c r="J10" s="8" t="n">
        <v>46112</v>
      </c>
      <c r="O10" s="5" t="inlineStr">
        <is>
          <t>Valpak</t>
        </is>
      </c>
      <c r="R10" s="33" t="inlineStr">
        <is>
          <t>https://pinellastaxcollector.gov/property-tax/</t>
        </is>
      </c>
      <c r="S10" s="59" t="n">
        <v>2990000</v>
      </c>
      <c r="T10" s="59" t="n">
        <v>2600000</v>
      </c>
      <c r="U10" s="59" t="n">
        <v>2210000</v>
      </c>
      <c r="V10" s="61" t="inlineStr">
        <is>
          <t>https://pinellastaxcollector.gov/property-tax/</t>
        </is>
      </c>
      <c r="W10" s="61" t="n"/>
      <c r="X10" s="61" t="n"/>
      <c r="Y10" s="57" t="n">
        <v>4064</v>
      </c>
      <c r="Z10" s="58" t="inlineStr">
        <is>
          <t>2025-12-19</t>
        </is>
      </c>
      <c r="AA10" s="59" t="n">
        <v>2913000</v>
      </c>
      <c r="AB10" s="60" t="n"/>
    </row>
    <row r="11" ht="15" customHeight="1">
      <c r="A11" s="27" t="inlineStr">
        <is>
          <t>8301 W. McNab Road</t>
        </is>
      </c>
      <c r="B11" s="6" t="inlineStr">
        <is>
          <t>Tamarac</t>
        </is>
      </c>
      <c r="C11" s="6" t="inlineStr">
        <is>
          <t>FL</t>
        </is>
      </c>
      <c r="D11" s="28" t="n">
        <v>33321</v>
      </c>
      <c r="E11" s="29" t="inlineStr">
        <is>
          <t>Pontus SW Portfolio, LLC</t>
        </is>
      </c>
      <c r="F11" s="6" t="inlineStr">
        <is>
          <t>SW8301</t>
        </is>
      </c>
      <c r="G11" s="29" t="inlineStr">
        <is>
          <t>494104 20 0110</t>
        </is>
      </c>
      <c r="H11" s="6" t="n">
        <v>1</v>
      </c>
      <c r="I11" s="7" t="n">
        <v>45991</v>
      </c>
      <c r="J11" s="8" t="n">
        <v>46112</v>
      </c>
      <c r="N11" s="8" t="n"/>
      <c r="O11" s="5" t="inlineStr">
        <is>
          <t>Regard</t>
        </is>
      </c>
      <c r="P11" s="5" t="inlineStr">
        <is>
          <t>Broward County</t>
        </is>
      </c>
      <c r="Q11" s="5" t="n">
        <v>9548314000</v>
      </c>
      <c r="R11" s="33" t="inlineStr">
        <is>
          <t>www.broward.org</t>
        </is>
      </c>
      <c r="S11" s="59" t="n">
        <v>4419000</v>
      </c>
      <c r="T11" s="59" t="n">
        <v>3843000</v>
      </c>
      <c r="U11" s="59" t="n">
        <v>3266000</v>
      </c>
      <c r="V11" s="61" t="inlineStr">
        <is>
          <t>www.broward.org</t>
        </is>
      </c>
      <c r="W11" s="61" t="n"/>
      <c r="X11" s="61" t="n"/>
      <c r="Y11" s="57" t="n">
        <v>4042</v>
      </c>
      <c r="Z11" s="58" t="inlineStr">
        <is>
          <t>2025-12-28</t>
        </is>
      </c>
      <c r="AA11" s="59" t="n">
        <v>4151000</v>
      </c>
      <c r="AB11" s="60" t="n"/>
    </row>
    <row r="12" ht="15" customHeight="1">
      <c r="A12" s="27" t="inlineStr">
        <is>
          <t>615 E Elkcam Cir</t>
        </is>
      </c>
      <c r="B12" s="6" t="inlineStr">
        <is>
          <t>Marco Island</t>
        </is>
      </c>
      <c r="C12" s="6" t="inlineStr">
        <is>
          <t>FL</t>
        </is>
      </c>
      <c r="D12" s="28" t="n">
        <v>34145</v>
      </c>
      <c r="E12" s="29" t="inlineStr">
        <is>
          <t>Pontus Vault Portfolio, LLC</t>
        </is>
      </c>
      <c r="F12" s="6" t="inlineStr">
        <is>
          <t>VP615</t>
        </is>
      </c>
      <c r="G12" s="29" t="n">
        <v>56931560003</v>
      </c>
      <c r="H12" s="6" t="n">
        <v>1</v>
      </c>
      <c r="I12" s="7" t="n">
        <v>45991</v>
      </c>
      <c r="J12" s="8" t="n">
        <v>46112</v>
      </c>
      <c r="N12" s="8" t="n"/>
      <c r="O12" s="5" t="inlineStr">
        <is>
          <t>Trulieve</t>
        </is>
      </c>
      <c r="P12" s="5" t="inlineStr">
        <is>
          <t>Collier County</t>
        </is>
      </c>
      <c r="Q12" s="5" t="n">
        <v>56931560003</v>
      </c>
      <c r="R12" s="33" t="inlineStr">
        <is>
          <t>https://county-taxes.net/fl-collier/property-tax/Y29sbGllcjpyZWFsX2VzdGF0ZTpwYXJlbnRzOmQ0MzUyMmQ5LWU1MDgtMTFlYi1hODBmLTAwNTA1NjgxYTJiNw==</t>
        </is>
      </c>
      <c r="S12" s="59" t="n">
        <v>4255000</v>
      </c>
      <c r="T12" s="59" t="n">
        <v>3700000</v>
      </c>
      <c r="U12" s="59" t="n">
        <v>3145000</v>
      </c>
      <c r="V12" s="61" t="inlineStr">
        <is>
          <t>https://county-taxes.net/fl-collier/property-tax/Y29sbGllcjpyZWFsX2VzdGF0ZTpwYXJlbnRzOmQ0MzUyMmQ5LWU1MDgtMTFlYi1hODBmLTAwNTA1NjgxYTJiNw==</t>
        </is>
      </c>
      <c r="W12" s="61" t="n"/>
      <c r="X12" s="61" t="inlineStr">
        <is>
          <t>https://example.com/y/property-11</t>
        </is>
      </c>
      <c r="Y12" s="57" t="n">
        <v>8078</v>
      </c>
      <c r="Z12" s="58" t="inlineStr">
        <is>
          <t>2025-11-10</t>
        </is>
      </c>
      <c r="AA12" s="59" t="n">
        <v>3775000</v>
      </c>
      <c r="AB12" s="60" t="n"/>
    </row>
    <row r="13" ht="15" customHeight="1">
      <c r="A13" s="27" t="inlineStr">
        <is>
          <t>3030 North Military Trail</t>
        </is>
      </c>
      <c r="B13" s="6" t="inlineStr">
        <is>
          <t>West Palm Beach</t>
        </is>
      </c>
      <c r="C13" s="6" t="inlineStr">
        <is>
          <t>FL</t>
        </is>
      </c>
      <c r="D13" s="28" t="n">
        <v>33409</v>
      </c>
      <c r="E13" s="29" t="inlineStr">
        <is>
          <t>Pontus TP Portfolio, LLC</t>
        </is>
      </c>
      <c r="F13" s="6" t="inlineStr">
        <is>
          <t>TP3030</t>
        </is>
      </c>
      <c r="G13" s="29" t="inlineStr">
        <is>
          <t>00-42-43-13-01-004-0020</t>
        </is>
      </c>
      <c r="H13" s="6" t="n">
        <v>1</v>
      </c>
      <c r="J13" s="8" t="n">
        <v>46112</v>
      </c>
      <c r="O13" s="5" t="inlineStr">
        <is>
          <t>Pinnacle</t>
        </is>
      </c>
      <c r="P13" s="5" t="inlineStr">
        <is>
          <t>Palm Beach County</t>
        </is>
      </c>
      <c r="Q13" s="5" t="inlineStr">
        <is>
          <t>(561) 355-2264</t>
        </is>
      </c>
      <c r="R13" s="33" t="inlineStr">
        <is>
          <t>https://www.pbctax.com/real-estate-property-tax/</t>
        </is>
      </c>
      <c r="S13" s="59" t="n">
        <v>2242000</v>
      </c>
      <c r="T13" s="59" t="n">
        <v>1950000</v>
      </c>
      <c r="U13" s="59" t="n">
        <v>1657000</v>
      </c>
      <c r="V13" s="61" t="inlineStr">
        <is>
          <t>https://www.pbctax.com/real-estate-property-tax/</t>
        </is>
      </c>
      <c r="W13" s="61" t="n"/>
      <c r="X13" s="61" t="n"/>
      <c r="Y13" s="57" t="n">
        <v>18076</v>
      </c>
      <c r="Z13" s="58" t="inlineStr">
        <is>
          <t>2025-11-19</t>
        </is>
      </c>
      <c r="AA13" s="59" t="n">
        <v>2341000</v>
      </c>
      <c r="AB13" s="60" t="n"/>
    </row>
    <row r="14" ht="15" customHeight="1">
      <c r="A14" s="27" t="inlineStr">
        <is>
          <t>805 11th St</t>
        </is>
      </c>
      <c r="B14" s="6" t="inlineStr">
        <is>
          <t>Lakeport</t>
        </is>
      </c>
      <c r="C14" s="6" t="inlineStr">
        <is>
          <t>CA</t>
        </is>
      </c>
      <c r="D14" s="28" t="n">
        <v>95453</v>
      </c>
      <c r="E14" s="29" t="inlineStr">
        <is>
          <t>Pontus Vault Portfolio, LLC</t>
        </is>
      </c>
      <c r="F14" s="6" t="inlineStr">
        <is>
          <t>VP805</t>
        </is>
      </c>
      <c r="G14" s="29" t="inlineStr">
        <is>
          <t>026-301-280-000</t>
        </is>
      </c>
      <c r="H14" s="6" t="n">
        <v>2</v>
      </c>
      <c r="J14" s="8" t="n">
        <v>46122</v>
      </c>
      <c r="K14" s="34" t="n">
        <v>46366</v>
      </c>
      <c r="N14" s="8" t="n"/>
      <c r="O14" s="5" t="inlineStr">
        <is>
          <t>Umpqua Bank - CAM</t>
        </is>
      </c>
      <c r="P14" s="5" t="inlineStr">
        <is>
          <t>Lake County</t>
        </is>
      </c>
      <c r="Q14" s="5" t="n">
        <v>7072632234</v>
      </c>
      <c r="R14" s="33" t="inlineStr">
        <is>
          <t>https://common2.mptsweb.com/MBC/lake/tax/main/026301280000/2024/0000</t>
        </is>
      </c>
      <c r="S14" s="59" t="n">
        <v>1928000</v>
      </c>
      <c r="T14" s="59" t="n">
        <v>1677000</v>
      </c>
      <c r="U14" s="59" t="n">
        <v>1425000</v>
      </c>
      <c r="V14" s="61" t="inlineStr">
        <is>
          <t>https://common2.mptsweb.com/MBC/lake/tax/main/026301280000/2024/0000</t>
        </is>
      </c>
      <c r="W14" s="61" t="n"/>
      <c r="X14" s="61" t="n"/>
      <c r="Y14" s="62" t="n"/>
      <c r="Z14" s="62" t="n"/>
      <c r="AA14" s="59" t="n">
        <v>1879000</v>
      </c>
      <c r="AB14" s="60" t="n"/>
    </row>
    <row r="15" ht="15" customHeight="1">
      <c r="A15" s="27" t="inlineStr">
        <is>
          <t>99 East 5th Street</t>
        </is>
      </c>
      <c r="B15" s="6" t="inlineStr">
        <is>
          <t>Douglas</t>
        </is>
      </c>
      <c r="C15" s="6" t="inlineStr">
        <is>
          <t>AZ</t>
        </is>
      </c>
      <c r="D15" s="28" t="n">
        <v>85607</v>
      </c>
      <c r="E15" s="29" t="inlineStr">
        <is>
          <t>Pontus BK Portfolio, LLC</t>
        </is>
      </c>
      <c r="F15" s="6" t="inlineStr">
        <is>
          <t>BK99</t>
        </is>
      </c>
      <c r="G15" s="29" t="inlineStr">
        <is>
          <t>409-09-081D0</t>
        </is>
      </c>
      <c r="H15" s="6" t="n">
        <v>2</v>
      </c>
      <c r="J15" s="8" t="n">
        <v>46143</v>
      </c>
      <c r="K15" s="34" t="n">
        <v>46327</v>
      </c>
      <c r="N15" s="8" t="n"/>
      <c r="O15" s="5" t="inlineStr">
        <is>
          <t>KRAF</t>
        </is>
      </c>
      <c r="P15" s="5" t="inlineStr">
        <is>
          <t>Cochise County</t>
        </is>
      </c>
      <c r="Q15" s="5" t="n">
        <v>5204328400</v>
      </c>
      <c r="R15" s="33" t="inlineStr">
        <is>
          <t>https://parcelinquirytreasurer.cochise.az.gov/Parcel/PaymentHistory?parcelNumber=40909081D0&amp;taxYear=2024</t>
        </is>
      </c>
      <c r="S15" s="59" t="n">
        <v>1672000</v>
      </c>
      <c r="T15" s="59" t="n">
        <v>1454000</v>
      </c>
      <c r="U15" s="59" t="n">
        <v>1235000</v>
      </c>
      <c r="V15" s="61" t="inlineStr">
        <is>
          <t>https://parcelinquirytreasurer.cochise.az.gov/Parcel/PaymentHistory?parcelNumber=40909081D0&amp;taxYear=2024</t>
        </is>
      </c>
      <c r="W15" s="61" t="inlineStr">
        <is>
          <t>https://example.com/x/property-14</t>
        </is>
      </c>
      <c r="X15" s="61" t="n"/>
      <c r="Y15" s="57" t="n">
        <v>24837</v>
      </c>
      <c r="Z15" s="58" t="inlineStr">
        <is>
          <t>2025-11-23</t>
        </is>
      </c>
      <c r="AA15" s="59" t="n">
        <v>1571000</v>
      </c>
      <c r="AB15" s="60" t="n"/>
    </row>
    <row r="16" ht="15" customHeight="1">
      <c r="A16" s="27" t="inlineStr">
        <is>
          <t>3485 Ajo Way</t>
        </is>
      </c>
      <c r="B16" s="6" t="inlineStr">
        <is>
          <t>Valencia</t>
        </is>
      </c>
      <c r="C16" s="6" t="inlineStr">
        <is>
          <t>AZ</t>
        </is>
      </c>
      <c r="D16" s="28" t="n">
        <v>85713</v>
      </c>
      <c r="E16" s="29" t="inlineStr">
        <is>
          <t>Pontus BK Portfolio, LLC</t>
        </is>
      </c>
      <c r="F16" s="6" t="inlineStr">
        <is>
          <t>BK3485</t>
        </is>
      </c>
      <c r="G16" s="29" t="inlineStr">
        <is>
          <t>13204211C</t>
        </is>
      </c>
      <c r="H16" s="6" t="n">
        <v>2</v>
      </c>
      <c r="J16" s="8" t="n">
        <v>46143</v>
      </c>
      <c r="K16" s="34" t="n">
        <v>46327</v>
      </c>
      <c r="N16" s="8" t="n"/>
      <c r="O16" s="5" t="inlineStr">
        <is>
          <t>KRAF</t>
        </is>
      </c>
      <c r="P16" s="5" t="inlineStr">
        <is>
          <t>Pima County</t>
        </is>
      </c>
      <c r="Q16" s="5" t="n">
        <v>5207248341</v>
      </c>
      <c r="R16" s="33" t="inlineStr">
        <is>
          <t>http://www.to.pima.gov/</t>
        </is>
      </c>
      <c r="S16" s="59" t="n">
        <v>4703000</v>
      </c>
      <c r="T16" s="59" t="n">
        <v>4090000</v>
      </c>
      <c r="U16" s="59" t="n">
        <v>3476000</v>
      </c>
      <c r="V16" s="61" t="inlineStr">
        <is>
          <t>http://www.to.pima.gov/</t>
        </is>
      </c>
      <c r="W16" s="61" t="n"/>
      <c r="X16" s="61" t="n"/>
      <c r="Y16" s="57" t="n">
        <v>24797</v>
      </c>
      <c r="Z16" s="58" t="inlineStr">
        <is>
          <t>2025-11-13</t>
        </is>
      </c>
      <c r="AA16" s="59" t="n">
        <v>4172000</v>
      </c>
      <c r="AB16" s="60" t="n"/>
    </row>
    <row r="17" ht="15" customHeight="1">
      <c r="A17" s="27" t="inlineStr">
        <is>
          <t>10420 Research Rd. SE</t>
        </is>
      </c>
      <c r="B17" s="6" t="inlineStr">
        <is>
          <t>Albuquerque</t>
        </is>
      </c>
      <c r="C17" s="6" t="inlineStr">
        <is>
          <t>NM</t>
        </is>
      </c>
      <c r="D17" s="28" t="n">
        <v>87123</v>
      </c>
      <c r="E17" s="29" t="inlineStr">
        <is>
          <t>Pontus ST Albuquerque, LLC</t>
        </is>
      </c>
      <c r="F17" s="6" t="inlineStr">
        <is>
          <t>ST10420</t>
        </is>
      </c>
      <c r="G17" s="29" t="inlineStr">
        <is>
          <t>1 021 055 050 415 20166</t>
        </is>
      </c>
      <c r="H17" s="6" t="n">
        <v>2</v>
      </c>
      <c r="J17" s="8" t="n">
        <v>46152</v>
      </c>
      <c r="K17" s="34" t="n">
        <v>46366</v>
      </c>
      <c r="N17" s="8" t="n"/>
      <c r="O17" s="5" t="inlineStr">
        <is>
          <t>SolAero</t>
        </is>
      </c>
      <c r="P17" s="5" t="inlineStr">
        <is>
          <t>Bernalillo County</t>
        </is>
      </c>
      <c r="Q17" s="5" t="inlineStr">
        <is>
          <t>(505) 468-7031</t>
        </is>
      </c>
      <c r="R17" s="33" t="inlineStr">
        <is>
          <t>https://www.bernco.gov/treasurer/paying-your-property-taxes-overview/</t>
        </is>
      </c>
      <c r="S17" s="59" t="n">
        <v>2130000</v>
      </c>
      <c r="T17" s="59" t="n">
        <v>1853000</v>
      </c>
      <c r="U17" s="59" t="n">
        <v>1575000</v>
      </c>
      <c r="V17" s="61" t="inlineStr">
        <is>
          <t>https://www.bernco.gov/treasurer/paying-your-property-taxes-overview/</t>
        </is>
      </c>
      <c r="W17" s="61" t="n"/>
      <c r="X17" s="61" t="n"/>
      <c r="Y17" s="57" t="n">
        <v>20212</v>
      </c>
      <c r="Z17" s="58" t="inlineStr">
        <is>
          <t>2025-11-24</t>
        </is>
      </c>
      <c r="AA17" s="59" t="n">
        <v>2224000</v>
      </c>
      <c r="AB17" s="60" t="n"/>
    </row>
    <row r="18" ht="15" customHeight="1">
      <c r="A18" s="27" t="inlineStr">
        <is>
          <t>6740 Shady Oak Lane</t>
        </is>
      </c>
      <c r="B18" s="6" t="inlineStr">
        <is>
          <t>Eden Prairie</t>
        </is>
      </c>
      <c r="C18" s="6" t="inlineStr">
        <is>
          <t>MN</t>
        </is>
      </c>
      <c r="D18" s="28" t="n">
        <v>55344</v>
      </c>
      <c r="E18" s="29" t="inlineStr">
        <is>
          <t>Pontus IMB Portfolio, LLC</t>
        </is>
      </c>
      <c r="F18" s="6" t="inlineStr">
        <is>
          <t>IMB6740</t>
        </is>
      </c>
      <c r="G18" s="35" t="inlineStr">
        <is>
          <t>0111622340022</t>
        </is>
      </c>
      <c r="H18" s="6" t="n">
        <v>2</v>
      </c>
      <c r="J18" s="8" t="n">
        <v>46157</v>
      </c>
      <c r="K18" s="8" t="n">
        <v>46310</v>
      </c>
      <c r="N18" s="8" t="n"/>
      <c r="O18" s="5" t="inlineStr">
        <is>
          <t>Pontus</t>
        </is>
      </c>
      <c r="P18" s="5" t="inlineStr">
        <is>
          <t>Hennepin County</t>
        </is>
      </c>
      <c r="R18" s="33" t="inlineStr">
        <is>
          <t>https://www.hennepin.us/propertytaxpayments/</t>
        </is>
      </c>
      <c r="S18" s="59" t="n">
        <v>4202000</v>
      </c>
      <c r="T18" s="59" t="n">
        <v>3654000</v>
      </c>
      <c r="U18" s="59" t="n">
        <v>3105000</v>
      </c>
      <c r="V18" s="61" t="inlineStr">
        <is>
          <t>https://www.hennepin.us/propertytaxpayments/</t>
        </is>
      </c>
      <c r="W18" s="61" t="n"/>
      <c r="X18" s="61" t="n"/>
      <c r="Y18" s="57" t="n">
        <v>7621</v>
      </c>
      <c r="Z18" s="58" t="inlineStr">
        <is>
          <t>2025-11-16</t>
        </is>
      </c>
      <c r="AA18" s="59" t="n">
        <v>4093000</v>
      </c>
      <c r="AB18" s="60" t="n"/>
    </row>
    <row r="19" ht="15" customHeight="1">
      <c r="A19" s="27" t="inlineStr">
        <is>
          <t xml:space="preserve"> 1330 Old Country Rd</t>
        </is>
      </c>
      <c r="B19" s="6" t="inlineStr">
        <is>
          <t>Riverhead</t>
        </is>
      </c>
      <c r="C19" s="6" t="inlineStr">
        <is>
          <t>NY</t>
        </is>
      </c>
      <c r="D19" s="28" t="n">
        <v>11901</v>
      </c>
      <c r="E19" s="29" t="inlineStr">
        <is>
          <t>Pontus DC Riverhead, LLC</t>
        </is>
      </c>
      <c r="F19" s="6" t="inlineStr">
        <is>
          <t>DC1330</t>
        </is>
      </c>
      <c r="G19" s="29" t="n">
        <v>11982</v>
      </c>
      <c r="H19" s="6" t="n">
        <v>2</v>
      </c>
      <c r="J19" s="8" t="n">
        <v>46175</v>
      </c>
      <c r="K19" s="8" t="n">
        <v>46397</v>
      </c>
      <c r="N19" s="8" t="n"/>
      <c r="O19" s="5" t="inlineStr">
        <is>
          <t>Dennis</t>
        </is>
      </c>
      <c r="P19" s="5" t="inlineStr">
        <is>
          <t>Town of Riverhead</t>
        </is>
      </c>
      <c r="R19" s="33" t="inlineStr">
        <is>
          <t>https://tax.egov.basgov.com/riverhead/TaxBill/BillDetailsPaymentOptions?TaxBillID=93938c45-39ac-ef11-9968-509a4c486007</t>
        </is>
      </c>
      <c r="S19" s="59" t="n">
        <v>2980000</v>
      </c>
      <c r="T19" s="59" t="n">
        <v>2592000</v>
      </c>
      <c r="U19" s="59" t="n">
        <v>2203000</v>
      </c>
      <c r="V19" s="61" t="inlineStr">
        <is>
          <t>https://tax.egov.basgov.com/riverhead/TaxBill/BillDetailsPaymentOptions?TaxBillID=93938c45-39ac-ef11-9968-509a4c486007</t>
        </is>
      </c>
      <c r="W19" s="61" t="n"/>
      <c r="X19" s="61" t="n"/>
      <c r="Y19" s="57" t="n">
        <v>20651</v>
      </c>
      <c r="Z19" s="58" t="inlineStr">
        <is>
          <t>2025-12-28</t>
        </is>
      </c>
      <c r="AA19" s="59" t="n">
        <v>2800000</v>
      </c>
      <c r="AB19" s="60" t="n"/>
    </row>
    <row r="20" ht="15" customHeight="1">
      <c r="A20" s="27" t="inlineStr">
        <is>
          <t xml:space="preserve"> 1320 Old Country Rd</t>
        </is>
      </c>
      <c r="B20" s="6" t="inlineStr">
        <is>
          <t>Riverhead</t>
        </is>
      </c>
      <c r="C20" s="6" t="inlineStr">
        <is>
          <t>NY</t>
        </is>
      </c>
      <c r="D20" s="28" t="n">
        <v>11901</v>
      </c>
      <c r="E20" s="29" t="inlineStr">
        <is>
          <t>Pontus DC Riverhead, LLC</t>
        </is>
      </c>
      <c r="F20" s="6" t="inlineStr">
        <is>
          <t>DC1320</t>
        </is>
      </c>
      <c r="G20" s="29" t="n">
        <v>11982</v>
      </c>
      <c r="J20" s="8" t="n">
        <v>46175</v>
      </c>
      <c r="K20" s="8" t="n">
        <v>46397</v>
      </c>
      <c r="N20" s="8" t="n"/>
      <c r="O20" s="5" t="inlineStr">
        <is>
          <t>Dennis</t>
        </is>
      </c>
      <c r="P20" s="5" t="inlineStr">
        <is>
          <t>Town of Riverhead</t>
        </is>
      </c>
      <c r="R20" s="33" t="inlineStr">
        <is>
          <t>https://tax.egov.basgov.com/riverhead/TaxBill/BillDetailsPaymentOptions?TaxBillID=93938c45-39ac-ef11-9968-509a4c486007</t>
        </is>
      </c>
      <c r="S20" s="59" t="n">
        <v>3362000</v>
      </c>
      <c r="T20" s="59" t="n">
        <v>2924000</v>
      </c>
      <c r="U20" s="59" t="n">
        <v>2485000</v>
      </c>
      <c r="V20" s="61" t="inlineStr">
        <is>
          <t>https://tax.egov.basgov.com/riverhead/TaxBill/BillDetailsPaymentOptions?TaxBillID=93938c45-39ac-ef11-9968-509a4c486007</t>
        </is>
      </c>
      <c r="W20" s="61" t="n"/>
      <c r="X20" s="61" t="n"/>
      <c r="Y20" s="57" t="n">
        <v>11128</v>
      </c>
      <c r="Z20" s="58" t="inlineStr">
        <is>
          <t>2025-11-19</t>
        </is>
      </c>
      <c r="AA20" s="59" t="n">
        <v>2983000</v>
      </c>
      <c r="AB20" s="60" t="n"/>
    </row>
    <row r="21" ht="15" customHeight="1">
      <c r="A21" s="27" t="inlineStr">
        <is>
          <t>4023 W Hundred Rd</t>
        </is>
      </c>
      <c r="B21" s="6" t="inlineStr">
        <is>
          <t>Chester</t>
        </is>
      </c>
      <c r="C21" s="6" t="inlineStr">
        <is>
          <t>VA</t>
        </is>
      </c>
      <c r="D21" s="28" t="n">
        <v>23831</v>
      </c>
      <c r="E21" s="29" t="inlineStr">
        <is>
          <t>Pontus Vault Portfolio, LLC</t>
        </is>
      </c>
      <c r="F21" s="6" t="inlineStr">
        <is>
          <t>VP4023</t>
        </is>
      </c>
      <c r="G21" s="29" t="n">
        <v>112208</v>
      </c>
      <c r="H21" s="6" t="n">
        <v>2</v>
      </c>
      <c r="J21" s="8" t="n">
        <v>46178</v>
      </c>
      <c r="K21" s="34" t="n">
        <v>46361</v>
      </c>
      <c r="N21" s="8" t="n"/>
      <c r="O21" s="5" t="inlineStr">
        <is>
          <t>Pontus</t>
        </is>
      </c>
      <c r="P21" s="5" t="inlineStr">
        <is>
          <t>Chesterfield County</t>
        </is>
      </c>
      <c r="Q21" s="5" t="n">
        <v>8047481201</v>
      </c>
      <c r="R21" s="33" t="inlineStr">
        <is>
          <t>https://chesterfield.virginiainteractive.org/Treasurer/Main</t>
        </is>
      </c>
      <c r="S21" s="59" t="n">
        <v>946000</v>
      </c>
      <c r="T21" s="59" t="n">
        <v>823000</v>
      </c>
      <c r="U21" s="59" t="n">
        <v>699000</v>
      </c>
      <c r="V21" s="61" t="inlineStr">
        <is>
          <t>https://chesterfield.virginiainteractive.org/Treasurer/Main</t>
        </is>
      </c>
      <c r="W21" s="61" t="n"/>
      <c r="X21" s="61" t="n"/>
      <c r="Y21" s="57" t="n">
        <v>3828</v>
      </c>
      <c r="Z21" s="58" t="inlineStr">
        <is>
          <t>2025-11-12</t>
        </is>
      </c>
      <c r="AA21" s="59" t="n">
        <v>988000</v>
      </c>
      <c r="AB21" s="60" t="n"/>
    </row>
    <row r="22" ht="15" customHeight="1">
      <c r="A22" s="27" t="inlineStr">
        <is>
          <t>2993 Shore Dr</t>
        </is>
      </c>
      <c r="B22" s="6" t="inlineStr">
        <is>
          <t>Virginia Beach</t>
        </is>
      </c>
      <c r="C22" s="6" t="inlineStr">
        <is>
          <t>VA</t>
        </is>
      </c>
      <c r="D22" s="28" t="n">
        <v>23451</v>
      </c>
      <c r="E22" s="29" t="inlineStr">
        <is>
          <t>Pontus Vault Portfolio, LLC</t>
        </is>
      </c>
      <c r="F22" s="6" t="inlineStr">
        <is>
          <t>VP2993</t>
        </is>
      </c>
      <c r="G22" s="29" t="n">
        <v>14991959880000</v>
      </c>
      <c r="H22" s="6" t="n">
        <v>2</v>
      </c>
      <c r="J22" s="8" t="n">
        <v>46178</v>
      </c>
      <c r="K22" s="34" t="n">
        <v>46361</v>
      </c>
      <c r="N22" s="8" t="n"/>
      <c r="O22" s="5" t="inlineStr">
        <is>
          <t>Pontus</t>
        </is>
      </c>
      <c r="P22" s="5" t="inlineStr">
        <is>
          <t>City of Virginia Beach</t>
        </is>
      </c>
      <c r="Q22" s="5" t="n">
        <v>7573854445</v>
      </c>
      <c r="R22" s="33" t="inlineStr">
        <is>
          <t>https://pay.vbepay.com/Citizen/ViewAccount/364817</t>
        </is>
      </c>
      <c r="S22" s="59" t="n">
        <v>1427000</v>
      </c>
      <c r="T22" s="59" t="n">
        <v>1241000</v>
      </c>
      <c r="U22" s="59" t="n">
        <v>1054000</v>
      </c>
      <c r="V22" s="61" t="inlineStr">
        <is>
          <t>https://pay.vbepay.com/Citizen/ViewAccount/364817</t>
        </is>
      </c>
      <c r="W22" s="61" t="inlineStr">
        <is>
          <t>https://example.com/x/property-21</t>
        </is>
      </c>
      <c r="X22" s="61" t="n"/>
      <c r="Y22" s="57" t="n">
        <v>6574</v>
      </c>
      <c r="Z22" s="58" t="inlineStr">
        <is>
          <t>2025-11-15</t>
        </is>
      </c>
      <c r="AA22" s="59" t="n">
        <v>1391000</v>
      </c>
      <c r="AB22" s="60" t="n"/>
    </row>
    <row r="23" ht="15" customHeight="1">
      <c r="A23" s="27" t="inlineStr">
        <is>
          <t>287 Holland Road</t>
        </is>
      </c>
      <c r="B23" s="6" t="inlineStr">
        <is>
          <t>Holland</t>
        </is>
      </c>
      <c r="C23" s="6" t="inlineStr">
        <is>
          <t>PA</t>
        </is>
      </c>
      <c r="D23" s="28" t="n">
        <v>18966</v>
      </c>
      <c r="E23" s="29" t="inlineStr">
        <is>
          <t>PC Shell, LLC</t>
        </is>
      </c>
      <c r="F23" s="6" t="inlineStr">
        <is>
          <t>SH287</t>
        </is>
      </c>
      <c r="G23" s="29" t="n"/>
      <c r="J23" s="8" t="n">
        <v>46203</v>
      </c>
      <c r="K23" s="8" t="n">
        <v>46326</v>
      </c>
      <c r="N23" s="8" t="n"/>
      <c r="O23" s="5" t="inlineStr">
        <is>
          <t>Suki</t>
        </is>
      </c>
      <c r="S23" s="59" t="n">
        <v>1788000</v>
      </c>
      <c r="T23" s="59" t="n">
        <v>1555000</v>
      </c>
      <c r="U23" s="59" t="n">
        <v>1321000</v>
      </c>
      <c r="V23" s="61" t="inlineStr">
        <is>
          <t>https://example.com/w/property-22</t>
        </is>
      </c>
      <c r="W23" s="61" t="n"/>
      <c r="X23" s="61" t="inlineStr">
        <is>
          <t>https://example.com/y/property-22</t>
        </is>
      </c>
      <c r="Y23" s="57" t="n">
        <v>3487</v>
      </c>
      <c r="Z23" s="58" t="inlineStr">
        <is>
          <t>2025-11-13</t>
        </is>
      </c>
      <c r="AA23" s="59" t="n">
        <v>1680000</v>
      </c>
      <c r="AB23" s="60" t="n"/>
    </row>
    <row r="24" ht="15" customHeight="1">
      <c r="A24" s="27" t="inlineStr">
        <is>
          <t>3880 LaVista Rd</t>
        </is>
      </c>
      <c r="B24" s="6" t="inlineStr">
        <is>
          <t>Tucker</t>
        </is>
      </c>
      <c r="C24" s="6" t="inlineStr">
        <is>
          <t>GA</t>
        </is>
      </c>
      <c r="D24" s="28" t="n">
        <v>30084</v>
      </c>
      <c r="E24" s="29" t="inlineStr">
        <is>
          <t>Pontus Vault Portfolio, LLC</t>
        </is>
      </c>
      <c r="F24" s="6" t="inlineStr">
        <is>
          <t>VP3880</t>
        </is>
      </c>
      <c r="G24" s="29" t="inlineStr">
        <is>
          <t>18-190-01-013</t>
        </is>
      </c>
      <c r="H24" s="6" t="n">
        <v>2</v>
      </c>
      <c r="J24" s="8" t="n">
        <v>46295</v>
      </c>
      <c r="K24" s="8" t="n">
        <v>46341</v>
      </c>
      <c r="O24" s="5" t="inlineStr">
        <is>
          <t>Regions Bank</t>
        </is>
      </c>
      <c r="P24" s="5" t="inlineStr">
        <is>
          <t>Dekalb County</t>
        </is>
      </c>
      <c r="Q24" s="5" t="n">
        <v>4042984000</v>
      </c>
      <c r="R24" s="33" t="inlineStr">
        <is>
          <t>https://publicaccess.dekalbtax.org/Datalets/Datalet.aspx?sIndex=2&amp;idx=1</t>
        </is>
      </c>
      <c r="S24" s="59" t="n">
        <v>2650000</v>
      </c>
      <c r="T24" s="59" t="n">
        <v>2305000</v>
      </c>
      <c r="U24" s="59" t="n">
        <v>1959000</v>
      </c>
      <c r="V24" s="61" t="inlineStr">
        <is>
          <t>https://publicaccess.dekalbtax.org/Datalets/Datalet.aspx?sIndex=2&amp;idx=1</t>
        </is>
      </c>
      <c r="W24" s="61" t="n"/>
      <c r="X24" s="61" t="n"/>
      <c r="Y24" s="57" t="n">
        <v>14990</v>
      </c>
      <c r="Z24" s="58" t="inlineStr">
        <is>
          <t>2025-12-10</t>
        </is>
      </c>
      <c r="AA24" s="59" t="n">
        <v>2352000</v>
      </c>
      <c r="AB24" s="60" t="n"/>
    </row>
    <row r="25" ht="15" customHeight="1">
      <c r="A25" s="27" t="inlineStr">
        <is>
          <t>3805 Macon Rd</t>
        </is>
      </c>
      <c r="B25" s="6" t="inlineStr">
        <is>
          <t>Columbus</t>
        </is>
      </c>
      <c r="C25" s="6" t="inlineStr">
        <is>
          <t>GA</t>
        </is>
      </c>
      <c r="D25" s="28" t="n">
        <v>31907</v>
      </c>
      <c r="E25" s="29" t="inlineStr">
        <is>
          <t>Pontus Vault Portfolio, LLC</t>
        </is>
      </c>
      <c r="F25" s="6" t="inlineStr">
        <is>
          <t>VP3805</t>
        </is>
      </c>
      <c r="G25" s="29" t="inlineStr">
        <is>
          <t>085 008 002</t>
        </is>
      </c>
      <c r="H25" s="6" t="n">
        <v>2</v>
      </c>
      <c r="J25" s="8" t="n">
        <v>46296</v>
      </c>
      <c r="K25" s="8" t="n">
        <v>46358</v>
      </c>
      <c r="N25" s="8" t="n"/>
      <c r="O25" s="5" t="inlineStr">
        <is>
          <t>Pontus</t>
        </is>
      </c>
      <c r="P25" s="5" t="inlineStr">
        <is>
          <t>Muscogee County</t>
        </is>
      </c>
      <c r="Q25" s="5" t="n">
        <v>7066534211</v>
      </c>
      <c r="R25" s="33" t="inlineStr">
        <is>
          <t>https://muscogeecountyga.governmentwindow.com/select_bill.html?search_mode=search2&amp;tax_year=2018&amp;name=&amp;map_code=085+008+002&amp;address=</t>
        </is>
      </c>
      <c r="S25" s="59" t="n">
        <v>3514000</v>
      </c>
      <c r="T25" s="59" t="n">
        <v>3056000</v>
      </c>
      <c r="U25" s="59" t="n">
        <v>2597000</v>
      </c>
      <c r="V25" s="61" t="inlineStr">
        <is>
          <t>https://muscogeecountyga.governmentwindow.com/select_bill.html?search_mode=search2&amp;tax_year=2018&amp;name=&amp;map_code=085+008+002&amp;address=</t>
        </is>
      </c>
      <c r="W25" s="61" t="n"/>
      <c r="X25" s="61" t="n"/>
      <c r="Y25" s="57" t="n">
        <v>16930</v>
      </c>
      <c r="Z25" s="58" t="inlineStr">
        <is>
          <t>2025-11-22</t>
        </is>
      </c>
      <c r="AA25" s="59" t="n">
        <v>3668000</v>
      </c>
      <c r="AB25" s="60" t="n"/>
    </row>
    <row r="26" ht="15" customHeight="1">
      <c r="A26" s="27" t="inlineStr">
        <is>
          <t>2419 Cheshire Bridge Rd NE</t>
        </is>
      </c>
      <c r="B26" s="6" t="inlineStr">
        <is>
          <t>Atlanta</t>
        </is>
      </c>
      <c r="C26" s="6" t="inlineStr">
        <is>
          <t>GA</t>
        </is>
      </c>
      <c r="D26" s="28" t="n">
        <v>30324</v>
      </c>
      <c r="E26" s="29" t="inlineStr">
        <is>
          <t>Pontus Vault Portfolio, LLC</t>
        </is>
      </c>
      <c r="F26" s="6" t="inlineStr">
        <is>
          <t>VP2419</t>
        </is>
      </c>
      <c r="G26" s="29" t="inlineStr">
        <is>
          <t>17 -0006-0003-048-4 (3 total bills, including solid waste bill)</t>
        </is>
      </c>
      <c r="H26" s="6" t="n">
        <v>2</v>
      </c>
      <c r="J26" s="8" t="n">
        <v>46326</v>
      </c>
      <c r="K26" s="8" t="n">
        <v>46341</v>
      </c>
      <c r="N26" s="8" t="n"/>
      <c r="O26" s="5" t="inlineStr">
        <is>
          <t>Pontus</t>
        </is>
      </c>
      <c r="P26" s="5" t="inlineStr">
        <is>
          <t>Fulton County</t>
        </is>
      </c>
      <c r="Q26" s="5" t="n">
        <v>4046136100</v>
      </c>
      <c r="R26" s="33" t="inlineStr">
        <is>
          <t>https://www.fultoncountytaxes.org/propertytax/summary/17%20000600030484</t>
        </is>
      </c>
      <c r="S26" s="59" t="n">
        <v>622000</v>
      </c>
      <c r="T26" s="59" t="n">
        <v>541000</v>
      </c>
      <c r="U26" s="59" t="n">
        <v>459000</v>
      </c>
      <c r="V26" s="61" t="inlineStr">
        <is>
          <t>https://www.fultoncountytaxes.org/propertytax/summary/17%20000600030484</t>
        </is>
      </c>
      <c r="W26" s="61" t="n"/>
      <c r="X26" s="61" t="n"/>
      <c r="Y26" s="57" t="n">
        <v>21761</v>
      </c>
      <c r="Z26" s="58" t="inlineStr">
        <is>
          <t>2025-12-12</t>
        </is>
      </c>
      <c r="AA26" s="59" t="n">
        <v>607000</v>
      </c>
      <c r="AB26" s="60" t="n"/>
    </row>
    <row r="27" ht="15" customHeight="1">
      <c r="A27" s="27" t="inlineStr">
        <is>
          <t>17 Kings Hwy W</t>
        </is>
      </c>
      <c r="B27" s="6" t="inlineStr">
        <is>
          <t>Haddonfield</t>
        </is>
      </c>
      <c r="C27" s="6" t="inlineStr">
        <is>
          <t>NJ</t>
        </is>
      </c>
      <c r="D27" s="28" t="n">
        <v>8033</v>
      </c>
      <c r="E27" s="29" t="inlineStr">
        <is>
          <t>Pontus Vault Portfolio, LLC</t>
        </is>
      </c>
      <c r="F27" s="6" t="inlineStr">
        <is>
          <t>VP17</t>
        </is>
      </c>
      <c r="G27" s="29" t="inlineStr">
        <is>
          <t>17-00134-0000-00009-01</t>
        </is>
      </c>
      <c r="H27" s="6" t="n">
        <v>4</v>
      </c>
      <c r="J27" s="8" t="n">
        <v>46327</v>
      </c>
      <c r="K27" s="8" t="n">
        <v>46419</v>
      </c>
      <c r="L27" s="8" t="n">
        <v>46143</v>
      </c>
      <c r="M27" s="9" t="n">
        <v>46235</v>
      </c>
      <c r="O27" s="5" t="inlineStr">
        <is>
          <t>Fulton Bank</t>
        </is>
      </c>
      <c r="P27" s="5" t="inlineStr">
        <is>
          <t>Borough of Haddonfield</t>
        </is>
      </c>
      <c r="Q27" s="5" t="inlineStr">
        <is>
          <t>(856) 429-4700 ext. 206</t>
        </is>
      </c>
      <c r="R27" s="33" t="inlineStr">
        <is>
          <t>https://wipp.edmundsassoc.com/Wipp/?wippid=0417#taxPage4546</t>
        </is>
      </c>
      <c r="S27" s="59" t="n">
        <v>3654000</v>
      </c>
      <c r="T27" s="59" t="n">
        <v>3178000</v>
      </c>
      <c r="U27" s="59" t="n">
        <v>2701000</v>
      </c>
      <c r="V27" s="61" t="inlineStr">
        <is>
          <t>https://wipp.edmundsassoc.com/Wipp/?wippid=0417#taxPage4546</t>
        </is>
      </c>
      <c r="W27" s="61" t="n"/>
      <c r="X27" s="61" t="n"/>
      <c r="Y27" s="62" t="n"/>
      <c r="Z27" s="62" t="n"/>
      <c r="AA27" s="59" t="n">
        <v>3433000</v>
      </c>
      <c r="AB27" s="60" t="n"/>
    </row>
    <row r="28" ht="15" customHeight="1">
      <c r="A28" s="27" t="inlineStr">
        <is>
          <t>2855 Auto Mall Parkway</t>
        </is>
      </c>
      <c r="B28" s="6" t="inlineStr">
        <is>
          <t>Fairfield</t>
        </is>
      </c>
      <c r="C28" s="6" t="inlineStr">
        <is>
          <t>CA</t>
        </is>
      </c>
      <c r="D28" s="28" t="n">
        <v>94533</v>
      </c>
      <c r="E28" s="29" t="inlineStr">
        <is>
          <t>Pontus MAG Fairfield II, LLC</t>
        </is>
      </c>
      <c r="F28" s="6" t="inlineStr">
        <is>
          <t>MAG2855</t>
        </is>
      </c>
      <c r="G28" s="29" t="n">
        <v>28123030</v>
      </c>
      <c r="H28" s="6" t="n">
        <v>2</v>
      </c>
      <c r="J28" s="34" t="n">
        <v>46366</v>
      </c>
      <c r="K28" s="34" t="n">
        <v>46487</v>
      </c>
      <c r="L28" s="34" t="n"/>
      <c r="O28" s="5" t="inlineStr">
        <is>
          <t>Schomp</t>
        </is>
      </c>
      <c r="P28" s="5" t="inlineStr">
        <is>
          <t>Solano County</t>
        </is>
      </c>
      <c r="Q28" s="5" t="n">
        <v>7077847485</v>
      </c>
      <c r="R28" s="33" t="inlineStr">
        <is>
          <t>www.solanocounty.com</t>
        </is>
      </c>
      <c r="S28" s="59" t="n">
        <v>1833000</v>
      </c>
      <c r="T28" s="59" t="n">
        <v>1594000</v>
      </c>
      <c r="U28" s="59" t="n">
        <v>1354000</v>
      </c>
      <c r="V28" s="61" t="inlineStr">
        <is>
          <t>www.solanocounty.com</t>
        </is>
      </c>
      <c r="W28" s="61" t="n"/>
      <c r="X28" s="61" t="n"/>
      <c r="Y28" s="57" t="n">
        <v>22143</v>
      </c>
      <c r="Z28" s="58" t="inlineStr">
        <is>
          <t>2025-12-17</t>
        </is>
      </c>
      <c r="AA28" s="59" t="n">
        <v>1626000</v>
      </c>
      <c r="AB28" s="60" t="n"/>
    </row>
    <row r="29" ht="15" customHeight="1">
      <c r="A29" s="27" t="inlineStr">
        <is>
          <t>2701 Auto Mall Parkway</t>
        </is>
      </c>
      <c r="B29" s="6" t="inlineStr">
        <is>
          <t>Fairfield</t>
        </is>
      </c>
      <c r="C29" s="6" t="inlineStr">
        <is>
          <t>CA</t>
        </is>
      </c>
      <c r="D29" s="28" t="n">
        <v>94533</v>
      </c>
      <c r="E29" s="29" t="inlineStr">
        <is>
          <t>Pontus MAG Fairfield III, LLC</t>
        </is>
      </c>
      <c r="F29" s="6" t="inlineStr">
        <is>
          <t>MAG2701</t>
        </is>
      </c>
      <c r="G29" s="29" t="n"/>
      <c r="J29" s="34" t="n">
        <v>46366</v>
      </c>
      <c r="K29" s="34" t="n">
        <v>46487</v>
      </c>
      <c r="L29" s="34" t="n"/>
      <c r="O29" s="5" t="inlineStr">
        <is>
          <t>Schomp</t>
        </is>
      </c>
      <c r="P29" s="5" t="inlineStr">
        <is>
          <t>Solano County</t>
        </is>
      </c>
      <c r="Q29" s="5" t="n">
        <v>7077847485</v>
      </c>
      <c r="R29" s="33" t="inlineStr">
        <is>
          <t>www.solanocounty.com</t>
        </is>
      </c>
      <c r="S29" s="59" t="n">
        <v>4788000</v>
      </c>
      <c r="T29" s="59" t="n">
        <v>4164000</v>
      </c>
      <c r="U29" s="59" t="n">
        <v>3539000</v>
      </c>
      <c r="V29" s="61" t="inlineStr">
        <is>
          <t>www.solanocounty.com</t>
        </is>
      </c>
      <c r="W29" s="61" t="inlineStr">
        <is>
          <t>https://example.com/x/property-28</t>
        </is>
      </c>
      <c r="X29" s="61" t="n"/>
      <c r="Y29" s="57" t="n">
        <v>8021</v>
      </c>
      <c r="Z29" s="58" t="inlineStr">
        <is>
          <t>2025-12-17</t>
        </is>
      </c>
      <c r="AA29" s="59" t="n">
        <v>4997000</v>
      </c>
      <c r="AB29" s="60" t="n"/>
    </row>
    <row r="30" ht="15" customHeight="1">
      <c r="A30" s="27" t="inlineStr">
        <is>
          <t>2775 Auto Mall Pkwy</t>
        </is>
      </c>
      <c r="B30" s="6" t="inlineStr">
        <is>
          <t>Fairfield</t>
        </is>
      </c>
      <c r="C30" s="6" t="inlineStr">
        <is>
          <t>CA</t>
        </is>
      </c>
      <c r="D30" s="28" t="n">
        <v>94533</v>
      </c>
      <c r="E30" s="29" t="inlineStr">
        <is>
          <t>Pontus MAG Fairfield III, LLC</t>
        </is>
      </c>
      <c r="F30" s="6" t="inlineStr">
        <is>
          <t>MAG2775</t>
        </is>
      </c>
      <c r="G30" s="29" t="n">
        <v>28123120</v>
      </c>
      <c r="H30" s="6" t="n">
        <v>2</v>
      </c>
      <c r="J30" s="34" t="n">
        <v>46366</v>
      </c>
      <c r="K30" s="34" t="n">
        <v>46487</v>
      </c>
      <c r="L30" s="34" t="n"/>
      <c r="N30" s="8" t="n"/>
      <c r="O30" s="5" t="inlineStr">
        <is>
          <t>Schomp</t>
        </is>
      </c>
      <c r="P30" s="5" t="inlineStr">
        <is>
          <t>Solano County</t>
        </is>
      </c>
      <c r="Q30" s="5" t="n">
        <v>7077847485</v>
      </c>
      <c r="R30" s="33" t="inlineStr">
        <is>
          <t>www.solanocounty.com</t>
        </is>
      </c>
      <c r="S30" s="59" t="n">
        <v>2458000</v>
      </c>
      <c r="T30" s="59" t="n">
        <v>2138000</v>
      </c>
      <c r="U30" s="59" t="n">
        <v>1817000</v>
      </c>
      <c r="V30" s="61" t="inlineStr">
        <is>
          <t>www.solanocounty.com</t>
        </is>
      </c>
      <c r="W30" s="61" t="n"/>
      <c r="X30" s="61" t="n"/>
      <c r="Y30" s="57" t="n">
        <v>23221</v>
      </c>
      <c r="Z30" s="58" t="inlineStr">
        <is>
          <t>2025-11-27</t>
        </is>
      </c>
      <c r="AA30" s="59" t="n">
        <v>2395000</v>
      </c>
      <c r="AB30" s="60" t="n"/>
    </row>
    <row r="31" ht="15" customHeight="1">
      <c r="A31" s="27" t="inlineStr">
        <is>
          <t>3970 Missouri Flat Rd</t>
        </is>
      </c>
      <c r="B31" s="6" t="inlineStr">
        <is>
          <t>Placerville</t>
        </is>
      </c>
      <c r="C31" s="6" t="inlineStr">
        <is>
          <t>CA</t>
        </is>
      </c>
      <c r="D31" s="28" t="n">
        <v>95667</v>
      </c>
      <c r="E31" s="29" t="inlineStr">
        <is>
          <t>Pontus Vault Portfolio, LLC</t>
        </is>
      </c>
      <c r="F31" s="6" t="inlineStr">
        <is>
          <t>VP3970</t>
        </is>
      </c>
      <c r="G31" s="29" t="inlineStr">
        <is>
          <t>327-130-040-000</t>
        </is>
      </c>
      <c r="H31" s="6" t="n">
        <v>2</v>
      </c>
      <c r="J31" s="34" t="n">
        <v>46366</v>
      </c>
      <c r="K31" s="8" t="n">
        <v>46487</v>
      </c>
      <c r="N31" s="8" t="n"/>
      <c r="O31" s="5" t="inlineStr">
        <is>
          <t>Pontus</t>
        </is>
      </c>
      <c r="P31" s="5" t="inlineStr">
        <is>
          <t>El Dorado County</t>
        </is>
      </c>
      <c r="Q31" s="5" t="n">
        <v>5306215800</v>
      </c>
      <c r="R31" s="33" t="inlineStr">
        <is>
          <t>https://common3.mptsweb.com/MBC/eldorado/tax/main/327130040000/2024/0000</t>
        </is>
      </c>
      <c r="S31" s="59" t="n">
        <v>1662000</v>
      </c>
      <c r="T31" s="59" t="n">
        <v>1446000</v>
      </c>
      <c r="U31" s="59" t="n">
        <v>1229000</v>
      </c>
      <c r="V31" s="61" t="inlineStr">
        <is>
          <t>https://common3.mptsweb.com/MBC/eldorado/tax/main/327130040000/2024/0000</t>
        </is>
      </c>
      <c r="W31" s="61" t="n"/>
      <c r="X31" s="61" t="n"/>
      <c r="Y31" s="57" t="n">
        <v>7243</v>
      </c>
      <c r="Z31" s="58" t="inlineStr">
        <is>
          <t>2025-11-18</t>
        </is>
      </c>
      <c r="AA31" s="59" t="n">
        <v>1562000</v>
      </c>
      <c r="AB31" s="60" t="n"/>
    </row>
    <row r="32" ht="15" customHeight="1">
      <c r="A32" s="27" t="inlineStr">
        <is>
          <t>1801 Douglas Blvd</t>
        </is>
      </c>
      <c r="B32" s="6" t="inlineStr">
        <is>
          <t>Roseville</t>
        </is>
      </c>
      <c r="C32" s="6" t="inlineStr">
        <is>
          <t>CA</t>
        </is>
      </c>
      <c r="D32" s="28" t="n">
        <v>95661</v>
      </c>
      <c r="E32" s="29" t="inlineStr">
        <is>
          <t>Pontus Vault Portfolio, LLC</t>
        </is>
      </c>
      <c r="F32" s="6" t="inlineStr">
        <is>
          <t>VP1801</t>
        </is>
      </c>
      <c r="G32" s="29" t="inlineStr">
        <is>
          <t>048-520-006-000</t>
        </is>
      </c>
      <c r="H32" s="6" t="n">
        <v>2</v>
      </c>
      <c r="J32" s="34" t="n">
        <v>46366</v>
      </c>
      <c r="K32" s="8" t="n">
        <v>46487</v>
      </c>
      <c r="N32" s="8" t="n"/>
      <c r="O32" s="5" t="inlineStr">
        <is>
          <t>Pontus</t>
        </is>
      </c>
      <c r="P32" s="5" t="inlineStr">
        <is>
          <t>Placer County</t>
        </is>
      </c>
      <c r="Q32" s="5" t="n">
        <v>5308894120</v>
      </c>
      <c r="R32" s="33" t="inlineStr">
        <is>
          <t>https://common3.mptsweb.com/MBC/placer/tax/main/048520006000/2024/0000</t>
        </is>
      </c>
      <c r="S32" s="59" t="n">
        <v>813000</v>
      </c>
      <c r="T32" s="59" t="n">
        <v>707000</v>
      </c>
      <c r="U32" s="59" t="n">
        <v>600000</v>
      </c>
      <c r="V32" s="61" t="inlineStr">
        <is>
          <t>https://common3.mptsweb.com/MBC/placer/tax/main/048520006000/2024/0000</t>
        </is>
      </c>
      <c r="W32" s="61" t="n"/>
      <c r="X32" s="61" t="n"/>
      <c r="Y32" s="57" t="n">
        <v>22322</v>
      </c>
      <c r="Z32" s="58" t="inlineStr">
        <is>
          <t>2025-12-16</t>
        </is>
      </c>
      <c r="AA32" s="59" t="n">
        <v>722000</v>
      </c>
      <c r="AB32" s="60" t="n"/>
    </row>
    <row r="33" ht="15" customHeight="1">
      <c r="A33" s="27" t="inlineStr">
        <is>
          <t>229 S Washington St</t>
        </is>
      </c>
      <c r="B33" s="6" t="inlineStr">
        <is>
          <t>Sonora</t>
        </is>
      </c>
      <c r="C33" s="6" t="inlineStr">
        <is>
          <t>CA</t>
        </is>
      </c>
      <c r="D33" s="28" t="n">
        <v>95370</v>
      </c>
      <c r="E33" s="29" t="inlineStr">
        <is>
          <t>Pontus Vault Portfolio, LLC</t>
        </is>
      </c>
      <c r="F33" s="6" t="inlineStr">
        <is>
          <t>VP229</t>
        </is>
      </c>
      <c r="G33" s="29" t="inlineStr">
        <is>
          <t>001-201-010-000 (TWO BILLS)</t>
        </is>
      </c>
      <c r="H33" s="6" t="n">
        <v>2</v>
      </c>
      <c r="J33" s="34" t="n">
        <v>46366</v>
      </c>
      <c r="K33" s="8" t="n">
        <v>46487</v>
      </c>
      <c r="N33" s="8" t="n"/>
      <c r="O33" s="5" t="inlineStr">
        <is>
          <t>Pontus</t>
        </is>
      </c>
      <c r="P33" s="5" t="inlineStr">
        <is>
          <t>Tuolumne County</t>
        </is>
      </c>
      <c r="Q33" s="5" t="inlineStr">
        <is>
          <t>209-533-5544</t>
        </is>
      </c>
      <c r="R33" s="33" t="inlineStr">
        <is>
          <t>https://common3.mptsweb.com/MBC/tuolumne/tax/main/001201010000/2024/0000</t>
        </is>
      </c>
      <c r="S33" s="59" t="n">
        <v>786000</v>
      </c>
      <c r="T33" s="59" t="n">
        <v>684000</v>
      </c>
      <c r="U33" s="59" t="n">
        <v>581000</v>
      </c>
      <c r="V33" s="61" t="inlineStr">
        <is>
          <t>https://common3.mptsweb.com/MBC/tuolumne/tax/main/001201010000/2024/0000</t>
        </is>
      </c>
      <c r="W33" s="61" t="n"/>
      <c r="X33" s="61" t="n"/>
      <c r="Y33" s="57" t="n">
        <v>24212</v>
      </c>
      <c r="Z33" s="58" t="inlineStr">
        <is>
          <t>2025-11-18</t>
        </is>
      </c>
      <c r="AA33" s="59" t="n">
        <v>821000</v>
      </c>
      <c r="AB33" s="60" t="n"/>
    </row>
    <row r="34" ht="15" customHeight="1">
      <c r="A34" s="27" t="inlineStr">
        <is>
          <t>2621 North Bolton Avenue</t>
        </is>
      </c>
      <c r="B34" s="6" t="inlineStr">
        <is>
          <t>Alexandria</t>
        </is>
      </c>
      <c r="C34" s="6" t="inlineStr">
        <is>
          <t>LA</t>
        </is>
      </c>
      <c r="D34" s="28" t="n">
        <v>71303</v>
      </c>
      <c r="E34" s="29" t="inlineStr">
        <is>
          <t>Pontus OH Portfolio, LLC</t>
        </is>
      </c>
      <c r="F34" s="6" t="inlineStr">
        <is>
          <t>OH2621</t>
        </is>
      </c>
      <c r="G34" s="29" t="n">
        <v>2401806960000300</v>
      </c>
      <c r="H34" s="6" t="n">
        <v>1</v>
      </c>
      <c r="J34" s="8" t="n">
        <v>46387</v>
      </c>
      <c r="O34" s="5" t="inlineStr">
        <is>
          <t>Oceans</t>
        </is>
      </c>
      <c r="P34" s="5" t="inlineStr">
        <is>
          <t>Rapides Parish Sheriff's Office</t>
        </is>
      </c>
      <c r="Q34" s="5" t="n">
        <v>3184736740</v>
      </c>
      <c r="R34" s="33" t="inlineStr">
        <is>
          <t>www.rpso.org</t>
        </is>
      </c>
      <c r="S34" s="59" t="n">
        <v>5100000</v>
      </c>
      <c r="T34" s="59" t="n">
        <v>4435000</v>
      </c>
      <c r="U34" s="59" t="n">
        <v>3769000</v>
      </c>
      <c r="V34" s="61" t="inlineStr">
        <is>
          <t>www.rpso.org</t>
        </is>
      </c>
      <c r="W34" s="61" t="n"/>
      <c r="X34" s="61" t="inlineStr">
        <is>
          <t>https://example.com/y/property-33</t>
        </is>
      </c>
      <c r="Y34" s="57" t="n">
        <v>23664</v>
      </c>
      <c r="Z34" s="58" t="inlineStr">
        <is>
          <t>2025-12-13</t>
        </is>
      </c>
      <c r="AA34" s="59" t="n">
        <v>4968000</v>
      </c>
      <c r="AB34" s="60" t="n"/>
    </row>
    <row r="35" ht="15" customHeight="1">
      <c r="A35" s="27" t="inlineStr">
        <is>
          <t>11135 Florida Boulevard</t>
        </is>
      </c>
      <c r="B35" s="6" t="inlineStr">
        <is>
          <t>Baton Rouge</t>
        </is>
      </c>
      <c r="C35" s="6" t="inlineStr">
        <is>
          <t>LA</t>
        </is>
      </c>
      <c r="D35" s="28" t="n">
        <v>70815</v>
      </c>
      <c r="E35" s="29" t="inlineStr">
        <is>
          <t>Pontus OH Portfolio, LLC</t>
        </is>
      </c>
      <c r="F35" s="6" t="inlineStr">
        <is>
          <t>OH11135</t>
        </is>
      </c>
      <c r="G35" s="29" t="n">
        <v>1094726</v>
      </c>
      <c r="H35" s="6" t="n">
        <v>1</v>
      </c>
      <c r="J35" s="8" t="n">
        <v>46387</v>
      </c>
      <c r="N35" s="8" t="n"/>
      <c r="O35" s="5" t="inlineStr">
        <is>
          <t>Oceans</t>
        </is>
      </c>
      <c r="P35" s="5" t="inlineStr">
        <is>
          <t>East Baton Rouge Parish</t>
        </is>
      </c>
      <c r="Q35" s="5" t="n">
        <v>2253893920</v>
      </c>
      <c r="R35" s="33" t="inlineStr">
        <is>
          <t>https://snstaxpayments.com/ebr</t>
        </is>
      </c>
      <c r="S35" s="59" t="n">
        <v>3400000</v>
      </c>
      <c r="T35" s="59" t="n">
        <v>2957000</v>
      </c>
      <c r="U35" s="59" t="n">
        <v>2513000</v>
      </c>
      <c r="V35" s="61" t="inlineStr">
        <is>
          <t>https://snstaxpayments.com/ebr</t>
        </is>
      </c>
      <c r="W35" s="61" t="n"/>
      <c r="X35" s="61" t="n"/>
      <c r="Y35" s="57" t="n">
        <v>21298</v>
      </c>
      <c r="Z35" s="58" t="inlineStr">
        <is>
          <t>2025-12-20</t>
        </is>
      </c>
      <c r="AA35" s="59" t="n">
        <v>3194000</v>
      </c>
      <c r="AB35" s="60" t="n"/>
    </row>
    <row r="36" ht="15" customHeight="1">
      <c r="A36" s="27" t="inlineStr">
        <is>
          <t>302 West McNeese Street</t>
        </is>
      </c>
      <c r="B36" s="6" t="inlineStr">
        <is>
          <t>Lake Charles</t>
        </is>
      </c>
      <c r="C36" s="6" t="inlineStr">
        <is>
          <t>LA</t>
        </is>
      </c>
      <c r="D36" s="28" t="n">
        <v>70605</v>
      </c>
      <c r="E36" s="29" t="inlineStr">
        <is>
          <t>Pontus OH Portfolio, LLC</t>
        </is>
      </c>
      <c r="F36" s="6" t="inlineStr">
        <is>
          <t>OH302</t>
        </is>
      </c>
      <c r="G36" s="29" t="inlineStr">
        <is>
          <t>00310891</t>
        </is>
      </c>
      <c r="H36" s="6" t="n">
        <v>1</v>
      </c>
      <c r="J36" s="8" t="n">
        <v>46387</v>
      </c>
      <c r="N36" s="8" t="n"/>
      <c r="O36" s="5" t="inlineStr">
        <is>
          <t>Oceans</t>
        </is>
      </c>
      <c r="P36" s="5" t="inlineStr">
        <is>
          <t>Calcasieu Parish</t>
        </is>
      </c>
      <c r="Q36" s="5" t="n">
        <v>3374913680</v>
      </c>
      <c r="R36" s="33" t="inlineStr">
        <is>
          <t>https://snstaxpayments.com/calcasieu</t>
        </is>
      </c>
      <c r="S36" s="59" t="n">
        <v>1409000</v>
      </c>
      <c r="T36" s="59" t="n">
        <v>1226000</v>
      </c>
      <c r="U36" s="59" t="n">
        <v>1042000</v>
      </c>
      <c r="V36" s="61" t="inlineStr">
        <is>
          <t>https://snstaxpayments.com/calcasieu</t>
        </is>
      </c>
      <c r="W36" s="61" t="inlineStr">
        <is>
          <t>https://example.com/x/property-35</t>
        </is>
      </c>
      <c r="X36" s="61" t="n"/>
      <c r="Y36" s="57" t="n">
        <v>23541</v>
      </c>
      <c r="Z36" s="58" t="inlineStr">
        <is>
          <t>2025-12-11</t>
        </is>
      </c>
      <c r="AA36" s="59" t="n">
        <v>1251000</v>
      </c>
      <c r="AB36" s="60" t="n"/>
    </row>
    <row r="37" ht="15" customHeight="1">
      <c r="A37" s="27" t="inlineStr">
        <is>
          <t>1310 Heather Drive</t>
        </is>
      </c>
      <c r="B37" s="6" t="inlineStr">
        <is>
          <t>Opelousas</t>
        </is>
      </c>
      <c r="C37" s="6" t="inlineStr">
        <is>
          <t>LA</t>
        </is>
      </c>
      <c r="D37" s="28" t="n">
        <v>70570</v>
      </c>
      <c r="E37" s="29" t="inlineStr">
        <is>
          <t>Pontus OH Portfolio, LLC</t>
        </is>
      </c>
      <c r="F37" s="6" t="inlineStr">
        <is>
          <t>OH1310</t>
        </is>
      </c>
      <c r="G37" s="29" t="inlineStr">
        <is>
          <t>0102691000</t>
        </is>
      </c>
      <c r="H37" s="6" t="n">
        <v>1</v>
      </c>
      <c r="J37" s="8" t="n">
        <v>46387</v>
      </c>
      <c r="O37" s="5" t="inlineStr">
        <is>
          <t>Oceans</t>
        </is>
      </c>
      <c r="P37" s="5" t="inlineStr">
        <is>
          <t>St. Landry Parish</t>
        </is>
      </c>
      <c r="Q37" s="5" t="n">
        <v>3379423166</v>
      </c>
      <c r="R37" s="33" t="inlineStr">
        <is>
          <t>https://snstaxpayments.com/stlandry</t>
        </is>
      </c>
      <c r="S37" s="59" t="n">
        <v>3922000</v>
      </c>
      <c r="T37" s="59" t="n">
        <v>3411000</v>
      </c>
      <c r="U37" s="59" t="n">
        <v>2899000</v>
      </c>
      <c r="V37" s="61" t="inlineStr">
        <is>
          <t>https://snstaxpayments.com/stlandry</t>
        </is>
      </c>
      <c r="W37" s="61" t="n"/>
      <c r="X37" s="61" t="n"/>
      <c r="Y37" s="57" t="n">
        <v>20471</v>
      </c>
      <c r="Z37" s="58" t="inlineStr">
        <is>
          <t>2025-11-25</t>
        </is>
      </c>
      <c r="AA37" s="59" t="n">
        <v>4094000</v>
      </c>
      <c r="AB37" s="60" t="n"/>
    </row>
    <row r="38" ht="15" customHeight="1">
      <c r="A38" s="27" t="inlineStr">
        <is>
          <t>4811 Nashville Rd</t>
        </is>
      </c>
      <c r="B38" s="6" t="inlineStr">
        <is>
          <t>Bowling Green</t>
        </is>
      </c>
      <c r="C38" s="6" t="inlineStr">
        <is>
          <t>KY</t>
        </is>
      </c>
      <c r="D38" s="28" t="n">
        <v>42101</v>
      </c>
      <c r="E38" s="29" t="inlineStr">
        <is>
          <t>Pontus IMB Portfolio, LLC</t>
        </is>
      </c>
      <c r="F38" s="6" t="inlineStr">
        <is>
          <t>IMB4811</t>
        </is>
      </c>
      <c r="G38" s="29" t="inlineStr">
        <is>
          <t>041B77B</t>
        </is>
      </c>
      <c r="H38" s="6" t="n">
        <v>1</v>
      </c>
      <c r="J38" s="8" t="n">
        <v>46387</v>
      </c>
      <c r="N38" s="8" t="n"/>
      <c r="O38" s="5" t="inlineStr">
        <is>
          <t>Pontus</t>
        </is>
      </c>
      <c r="R38" s="33" t="inlineStr">
        <is>
          <t>https://www.bgky.org/property-tax-search/invoices/156635</t>
        </is>
      </c>
      <c r="S38" s="59" t="n">
        <v>4069000</v>
      </c>
      <c r="T38" s="59" t="n">
        <v>3539000</v>
      </c>
      <c r="U38" s="59" t="n">
        <v>3008000</v>
      </c>
      <c r="V38" s="61" t="inlineStr">
        <is>
          <t>https://www.bgky.org/property-tax-search/invoices/156635</t>
        </is>
      </c>
      <c r="W38" s="61" t="n"/>
      <c r="X38" s="61" t="n"/>
      <c r="Y38" s="57" t="n">
        <v>11286</v>
      </c>
      <c r="Z38" s="58" t="inlineStr">
        <is>
          <t>2025-11-21</t>
        </is>
      </c>
      <c r="AA38" s="59" t="n">
        <v>3964000</v>
      </c>
      <c r="AB38" s="60" t="n"/>
    </row>
    <row r="39" ht="15" customHeight="1">
      <c r="A39" s="27" t="inlineStr">
        <is>
          <t>4813 Nashville Rd</t>
        </is>
      </c>
      <c r="B39" s="6" t="inlineStr">
        <is>
          <t>Bowling Green</t>
        </is>
      </c>
      <c r="C39" s="6" t="inlineStr">
        <is>
          <t>KY</t>
        </is>
      </c>
      <c r="D39" s="28" t="n">
        <v>42101</v>
      </c>
      <c r="E39" s="29" t="inlineStr">
        <is>
          <t>Pontus IMB Portfolio, LLC</t>
        </is>
      </c>
      <c r="F39" s="6" t="inlineStr">
        <is>
          <t>IMB4813</t>
        </is>
      </c>
      <c r="G39" s="29" t="inlineStr">
        <is>
          <t>041B77D</t>
        </is>
      </c>
      <c r="H39" s="6" t="n">
        <v>1</v>
      </c>
      <c r="J39" s="8" t="n">
        <v>46387</v>
      </c>
      <c r="N39" s="8" t="n"/>
      <c r="O39" s="5" t="inlineStr">
        <is>
          <t>Pontus</t>
        </is>
      </c>
      <c r="R39" s="33" t="inlineStr">
        <is>
          <t>https://www.bgky.org/property-tax-search/invoices/156635</t>
        </is>
      </c>
      <c r="S39" s="59" t="n">
        <v>2383000</v>
      </c>
      <c r="T39" s="59" t="n">
        <v>2073000</v>
      </c>
      <c r="U39" s="59" t="n">
        <v>1762000</v>
      </c>
      <c r="V39" s="61" t="inlineStr">
        <is>
          <t>https://www.bgky.org/property-tax-search/invoices/156635</t>
        </is>
      </c>
      <c r="W39" s="61" t="n"/>
      <c r="X39" s="61" t="n"/>
      <c r="Y39" s="57" t="n">
        <v>21063</v>
      </c>
      <c r="Z39" s="58" t="inlineStr">
        <is>
          <t>2025-12-24</t>
        </is>
      </c>
      <c r="AA39" s="59" t="n">
        <v>2239000</v>
      </c>
      <c r="AB39" s="60" t="n"/>
    </row>
    <row r="40" ht="15" customHeight="1">
      <c r="A40" s="36" t="inlineStr">
        <is>
          <t>1145 US Highway 70 W</t>
        </is>
      </c>
      <c r="B40" s="6" t="inlineStr">
        <is>
          <t>Garner</t>
        </is>
      </c>
      <c r="C40" s="6" t="inlineStr">
        <is>
          <t>NC</t>
        </is>
      </c>
      <c r="D40" s="28" t="n">
        <v>27529</v>
      </c>
      <c r="E40" s="29" t="inlineStr">
        <is>
          <t>Pontus Vault Portfolio, LLC</t>
        </is>
      </c>
      <c r="F40" s="6" t="inlineStr">
        <is>
          <t>VP1145</t>
        </is>
      </c>
      <c r="G40" s="29" t="n">
        <v>229546</v>
      </c>
      <c r="H40" s="6" t="n">
        <v>1</v>
      </c>
      <c r="J40" s="8" t="n">
        <v>46393</v>
      </c>
      <c r="N40" s="8" t="n"/>
      <c r="O40" s="5" t="inlineStr">
        <is>
          <t>Fifth Third</t>
        </is>
      </c>
      <c r="P40" s="5" t="inlineStr">
        <is>
          <t>Wake County</t>
        </is>
      </c>
      <c r="Q40" s="5" t="n">
        <v>9198565400</v>
      </c>
      <c r="R40" s="33" t="inlineStr">
        <is>
          <t>https://services.wake.gov/ptax/main/billing/acctsummary.aspx?search=acct&amp;yrs=2&amp;id=229546</t>
        </is>
      </c>
      <c r="S40" s="59" t="n">
        <v>4441000</v>
      </c>
      <c r="T40" s="59" t="n">
        <v>3862000</v>
      </c>
      <c r="U40" s="59" t="n">
        <v>3282000</v>
      </c>
      <c r="V40" s="61" t="inlineStr">
        <is>
          <t>https://services.wake.gov/ptax/main/billing/acctsummary.aspx?search=acct&amp;yrs=2&amp;id=229546</t>
        </is>
      </c>
      <c r="W40" s="61" t="n"/>
      <c r="X40" s="61" t="n"/>
      <c r="Y40" s="62" t="n"/>
      <c r="Z40" s="62" t="n"/>
      <c r="AA40" s="59" t="n">
        <v>3940000</v>
      </c>
      <c r="AB40" s="60" t="n"/>
    </row>
    <row r="41" ht="15" customHeight="1">
      <c r="A41" s="27" t="inlineStr">
        <is>
          <t>4636 W Market St</t>
        </is>
      </c>
      <c r="B41" s="6" t="inlineStr">
        <is>
          <t>Greensboro</t>
        </is>
      </c>
      <c r="C41" s="6" t="inlineStr">
        <is>
          <t>NC</t>
        </is>
      </c>
      <c r="D41" s="28" t="n">
        <v>27407</v>
      </c>
      <c r="E41" s="29" t="inlineStr">
        <is>
          <t>Pontus Vault Portfolio, LLC</t>
        </is>
      </c>
      <c r="F41" s="6" t="inlineStr">
        <is>
          <t>VP4636</t>
        </is>
      </c>
      <c r="G41" s="29" t="n">
        <v>41737</v>
      </c>
      <c r="H41" s="6" t="n">
        <v>1</v>
      </c>
      <c r="I41" s="7" t="n">
        <v>46270</v>
      </c>
      <c r="J41" s="8" t="n">
        <v>46393</v>
      </c>
      <c r="N41" s="8" t="n"/>
      <c r="O41" s="5" t="inlineStr">
        <is>
          <t>Pontus</t>
        </is>
      </c>
      <c r="P41" s="5" t="inlineStr">
        <is>
          <t>Guilford County</t>
        </is>
      </c>
      <c r="Q41" s="5" t="n">
        <v>3366413363</v>
      </c>
      <c r="R41" s="33" t="inlineStr">
        <is>
          <t>https://bcpwa.ncptscloud.com/guilfordtax/BillDetails.aspx?BillPk=11242368</t>
        </is>
      </c>
      <c r="S41" s="59" t="n">
        <v>900000</v>
      </c>
      <c r="T41" s="59" t="n">
        <v>783000</v>
      </c>
      <c r="U41" s="59" t="n">
        <v>665000</v>
      </c>
      <c r="V41" s="61" t="inlineStr">
        <is>
          <t>https://bcpwa.ncptscloud.com/guilfordtax/BillDetails.aspx?BillPk=11242368</t>
        </is>
      </c>
      <c r="W41" s="61" t="n"/>
      <c r="X41" s="61" t="n"/>
      <c r="Y41" s="57" t="n">
        <v>17532</v>
      </c>
      <c r="Z41" s="58" t="inlineStr">
        <is>
          <t>2025-12-24</t>
        </is>
      </c>
      <c r="AA41" s="59" t="n">
        <v>940000</v>
      </c>
      <c r="AB41" s="60" t="n"/>
    </row>
    <row r="42" ht="15" customHeight="1">
      <c r="A42" s="5" t="inlineStr">
        <is>
          <t>2881 Bridgewood Drive</t>
        </is>
      </c>
      <c r="B42" s="6" t="inlineStr">
        <is>
          <t>Fayetteville</t>
        </is>
      </c>
      <c r="C42" s="6" t="inlineStr">
        <is>
          <t>NC</t>
        </is>
      </c>
      <c r="D42" s="28" t="n">
        <v>28301</v>
      </c>
      <c r="E42" s="29" t="inlineStr">
        <is>
          <t>Pontus QP Portfolio, LLC</t>
        </is>
      </c>
      <c r="F42" s="6" t="inlineStr">
        <is>
          <t>QP2881</t>
        </is>
      </c>
      <c r="G42" s="29" t="inlineStr">
        <is>
          <t>0435-14-5604-</t>
        </is>
      </c>
      <c r="H42" s="6" t="n">
        <v>1</v>
      </c>
      <c r="J42" s="8" t="n">
        <v>46394</v>
      </c>
      <c r="N42" s="8" t="n"/>
      <c r="O42" s="5" t="inlineStr">
        <is>
          <t>GPM</t>
        </is>
      </c>
      <c r="P42" s="5" t="inlineStr">
        <is>
          <t>Cumberland County</t>
        </is>
      </c>
      <c r="Q42" s="5" t="n">
        <v>9106787507</v>
      </c>
      <c r="R42" s="33" t="inlineStr">
        <is>
          <t>http://www.co.cumberland.nc.us/tax/payments/</t>
        </is>
      </c>
      <c r="S42" s="59" t="n">
        <v>3698000</v>
      </c>
      <c r="T42" s="59" t="n">
        <v>3216000</v>
      </c>
      <c r="U42" s="59" t="n">
        <v>2733000</v>
      </c>
      <c r="V42" s="61" t="inlineStr">
        <is>
          <t>http://www.co.cumberland.nc.us/tax/payments/</t>
        </is>
      </c>
      <c r="W42" s="61" t="n"/>
      <c r="X42" s="61" t="n"/>
      <c r="Y42" s="57" t="n">
        <v>7963</v>
      </c>
      <c r="Z42" s="58" t="inlineStr">
        <is>
          <t>2025-11-20</t>
        </is>
      </c>
      <c r="AA42" s="59" t="n">
        <v>3603000</v>
      </c>
      <c r="AB42" s="60" t="n"/>
    </row>
    <row r="43" ht="15" customHeight="1">
      <c r="A43" s="27" t="inlineStr">
        <is>
          <t>160 Jeffrey Way</t>
        </is>
      </c>
      <c r="B43" s="6" t="inlineStr">
        <is>
          <t>Franklin</t>
        </is>
      </c>
      <c r="C43" s="6" t="inlineStr">
        <is>
          <t>NC</t>
        </is>
      </c>
      <c r="D43" s="28" t="n">
        <v>27596</v>
      </c>
      <c r="E43" s="29" t="inlineStr">
        <is>
          <t>Pontus QP Portfolio, LLC</t>
        </is>
      </c>
      <c r="F43" s="6" t="inlineStr">
        <is>
          <t>QP160</t>
        </is>
      </c>
      <c r="G43" s="29" t="n">
        <v>39353</v>
      </c>
      <c r="H43" s="6" t="n">
        <v>1</v>
      </c>
      <c r="J43" s="8" t="n">
        <v>46394</v>
      </c>
      <c r="N43" s="8" t="n"/>
      <c r="O43" s="5" t="inlineStr">
        <is>
          <t>GPM</t>
        </is>
      </c>
      <c r="P43" s="5" t="inlineStr">
        <is>
          <t>Franklin County</t>
        </is>
      </c>
      <c r="Q43" s="5" t="n">
        <v>9194962172</v>
      </c>
      <c r="R43" s="33" t="inlineStr">
        <is>
          <t>https://secure.webtaxpay.com/?county=franklin&amp;state=NC</t>
        </is>
      </c>
      <c r="S43" s="59" t="n">
        <v>484000</v>
      </c>
      <c r="T43" s="59" t="n">
        <v>421000</v>
      </c>
      <c r="U43" s="59" t="n">
        <v>357000</v>
      </c>
      <c r="V43" s="61" t="inlineStr">
        <is>
          <t>https://secure.webtaxpay.com/?county=franklin&amp;state=NC</t>
        </is>
      </c>
      <c r="W43" s="61" t="inlineStr">
        <is>
          <t>https://example.com/x/property-42</t>
        </is>
      </c>
      <c r="X43" s="61" t="n"/>
      <c r="Y43" s="57" t="n">
        <v>9444</v>
      </c>
      <c r="Z43" s="58" t="inlineStr">
        <is>
          <t>2025-11-23</t>
        </is>
      </c>
      <c r="AA43" s="59" t="n">
        <v>455000</v>
      </c>
      <c r="AB43" s="60" t="n"/>
    </row>
    <row r="44" ht="15" customHeight="1">
      <c r="A44" s="27" t="inlineStr">
        <is>
          <t>7301 Cessna Drive</t>
        </is>
      </c>
      <c r="B44" s="6" t="inlineStr">
        <is>
          <t>Greensboro</t>
        </is>
      </c>
      <c r="C44" s="6" t="inlineStr">
        <is>
          <t>NC</t>
        </is>
      </c>
      <c r="D44" s="28" t="n">
        <v>27409</v>
      </c>
      <c r="E44" s="29" t="inlineStr">
        <is>
          <t>Pontus QP Portfolio, LLC</t>
        </is>
      </c>
      <c r="F44" s="6" t="inlineStr">
        <is>
          <t>QP7301</t>
        </is>
      </c>
      <c r="G44" s="29" t="n">
        <v>98137</v>
      </c>
      <c r="H44" s="6" t="n">
        <v>1</v>
      </c>
      <c r="J44" s="8" t="n">
        <v>46394</v>
      </c>
      <c r="N44" s="8" t="n"/>
      <c r="O44" s="5" t="inlineStr">
        <is>
          <t>GPM</t>
        </is>
      </c>
      <c r="P44" s="5" t="inlineStr">
        <is>
          <t>Guilford County</t>
        </is>
      </c>
      <c r="Q44" s="5" t="n">
        <v>3366413363</v>
      </c>
      <c r="R44" s="33" t="inlineStr">
        <is>
          <t>http://taxweb.guilfordcountync.gov/PublicWebAccess/</t>
        </is>
      </c>
      <c r="S44" s="59" t="n">
        <v>1888000</v>
      </c>
      <c r="T44" s="59" t="n">
        <v>1642000</v>
      </c>
      <c r="U44" s="59" t="n">
        <v>1395000</v>
      </c>
      <c r="V44" s="61" t="inlineStr">
        <is>
          <t>http://taxweb.guilfordcountync.gov/PublicWebAccess/</t>
        </is>
      </c>
      <c r="W44" s="61" t="n"/>
      <c r="X44" s="61" t="n"/>
      <c r="Y44" s="57" t="n">
        <v>19338</v>
      </c>
      <c r="Z44" s="58" t="inlineStr">
        <is>
          <t>2025-11-10</t>
        </is>
      </c>
      <c r="AA44" s="59" t="n">
        <v>1675000</v>
      </c>
      <c r="AB44" s="60" t="n"/>
    </row>
    <row r="45" ht="15" customHeight="1">
      <c r="A45" s="27" t="inlineStr">
        <is>
          <t>1210 East Trinity Avenue</t>
        </is>
      </c>
      <c r="B45" s="6" t="inlineStr">
        <is>
          <t>High Point</t>
        </is>
      </c>
      <c r="C45" s="6" t="inlineStr">
        <is>
          <t>NC</t>
        </is>
      </c>
      <c r="D45" s="28" t="n">
        <v>27260</v>
      </c>
      <c r="E45" s="29" t="inlineStr">
        <is>
          <t>Pontus QP Portfolio, LLC</t>
        </is>
      </c>
      <c r="F45" s="6" t="inlineStr">
        <is>
          <t>QP1210</t>
        </is>
      </c>
      <c r="G45" s="29" t="n">
        <v>195060</v>
      </c>
      <c r="H45" s="6" t="n">
        <v>1</v>
      </c>
      <c r="J45" s="8" t="n">
        <v>46394</v>
      </c>
      <c r="N45" s="8" t="n"/>
      <c r="O45" s="5" t="inlineStr">
        <is>
          <t>GPM</t>
        </is>
      </c>
      <c r="P45" s="5" t="inlineStr">
        <is>
          <t>Guilford County</t>
        </is>
      </c>
      <c r="Q45" s="5" t="n">
        <v>3366144814</v>
      </c>
      <c r="R45" s="33" t="inlineStr">
        <is>
          <t>http://taxweb.guilfordcountync.gov/PublicWebAccess/</t>
        </is>
      </c>
      <c r="S45" s="59" t="n">
        <v>2364000</v>
      </c>
      <c r="T45" s="59" t="n">
        <v>2056000</v>
      </c>
      <c r="U45" s="59" t="n">
        <v>1747000</v>
      </c>
      <c r="V45" s="61" t="inlineStr">
        <is>
          <t>http://taxweb.guilfordcountync.gov/PublicWebAccess/</t>
        </is>
      </c>
      <c r="W45" s="61" t="n"/>
      <c r="X45" s="61" t="inlineStr">
        <is>
          <t>https://example.com/y/property-44</t>
        </is>
      </c>
      <c r="Y45" s="57" t="n">
        <v>14766</v>
      </c>
      <c r="Z45" s="58" t="inlineStr">
        <is>
          <t>2025-11-25</t>
        </is>
      </c>
      <c r="AA45" s="59" t="n">
        <v>2468000</v>
      </c>
      <c r="AB45" s="60" t="n"/>
    </row>
    <row r="46" ht="15" customHeight="1">
      <c r="A46" s="27" t="inlineStr">
        <is>
          <t>765 Indeneer Drive</t>
        </is>
      </c>
      <c r="B46" s="6" t="inlineStr">
        <is>
          <t>Kernersville</t>
        </is>
      </c>
      <c r="C46" s="6" t="inlineStr">
        <is>
          <t>NC</t>
        </is>
      </c>
      <c r="D46" s="28" t="n">
        <v>27284</v>
      </c>
      <c r="E46" s="29" t="inlineStr">
        <is>
          <t>Pontus QP Portfolio, LLC</t>
        </is>
      </c>
      <c r="F46" s="6" t="inlineStr">
        <is>
          <t>QP765</t>
        </is>
      </c>
      <c r="G46" s="29" t="inlineStr">
        <is>
          <t>6885-67-0458.000</t>
        </is>
      </c>
      <c r="H46" s="6" t="n">
        <v>1</v>
      </c>
      <c r="J46" s="8" t="n">
        <v>46394</v>
      </c>
      <c r="N46" s="8" t="n"/>
      <c r="O46" s="5" t="inlineStr">
        <is>
          <t>GPM</t>
        </is>
      </c>
      <c r="P46" s="5" t="inlineStr">
        <is>
          <t>Forsyth County</t>
        </is>
      </c>
      <c r="Q46" s="5" t="n">
        <v>3367032300</v>
      </c>
      <c r="R46" s="33" t="inlineStr">
        <is>
          <t>http://www.forsyth.cc/tax/taxbill.aspx</t>
        </is>
      </c>
      <c r="S46" s="59" t="n">
        <v>350000</v>
      </c>
      <c r="T46" s="59" t="n">
        <v>305000</v>
      </c>
      <c r="U46" s="59" t="n">
        <v>259000</v>
      </c>
      <c r="V46" s="61" t="inlineStr">
        <is>
          <t>http://www.forsyth.cc/tax/taxbill.aspx</t>
        </is>
      </c>
      <c r="W46" s="61" t="n"/>
      <c r="X46" s="61" t="n"/>
      <c r="Y46" s="57" t="n">
        <v>4737</v>
      </c>
      <c r="Z46" s="58" t="inlineStr">
        <is>
          <t>2025-11-26</t>
        </is>
      </c>
      <c r="AA46" s="59" t="n">
        <v>342000</v>
      </c>
      <c r="AB46" s="60" t="n"/>
    </row>
    <row r="47" ht="15" customHeight="1">
      <c r="A47" s="27" t="inlineStr">
        <is>
          <t>3916 Commerce Park Drive</t>
        </is>
      </c>
      <c r="B47" s="6" t="inlineStr">
        <is>
          <t>Raleigh</t>
        </is>
      </c>
      <c r="C47" s="6" t="inlineStr">
        <is>
          <t>NC</t>
        </is>
      </c>
      <c r="D47" s="28" t="n">
        <v>27610</v>
      </c>
      <c r="E47" s="29" t="inlineStr">
        <is>
          <t>Pontus QP Portfolio, LLC</t>
        </is>
      </c>
      <c r="F47" s="6" t="inlineStr">
        <is>
          <t>QP3916</t>
        </is>
      </c>
      <c r="G47" s="29" t="inlineStr">
        <is>
          <t>0219662</t>
        </is>
      </c>
      <c r="H47" s="6" t="n">
        <v>1</v>
      </c>
      <c r="J47" s="8" t="n">
        <v>46394</v>
      </c>
      <c r="N47" s="8" t="n"/>
      <c r="O47" s="5" t="inlineStr">
        <is>
          <t>GPM</t>
        </is>
      </c>
      <c r="P47" s="5" t="inlineStr">
        <is>
          <t>Wake County</t>
        </is>
      </c>
      <c r="Q47" s="5" t="n">
        <v>9198565400</v>
      </c>
      <c r="R47" s="33" t="inlineStr">
        <is>
          <t>http://www.wakegov.com/tax/Pages/default.aspx</t>
        </is>
      </c>
      <c r="S47" s="59" t="n">
        <v>4444000</v>
      </c>
      <c r="T47" s="59" t="n">
        <v>3865000</v>
      </c>
      <c r="U47" s="59" t="n">
        <v>3285000</v>
      </c>
      <c r="V47" s="61" t="inlineStr">
        <is>
          <t>http://www.wakegov.com/tax/Pages/default.aspx</t>
        </is>
      </c>
      <c r="W47" s="61" t="n"/>
      <c r="X47" s="61" t="n"/>
      <c r="Y47" s="57" t="n">
        <v>22265</v>
      </c>
      <c r="Z47" s="58" t="inlineStr">
        <is>
          <t>2025-11-11</t>
        </is>
      </c>
      <c r="AA47" s="59" t="n">
        <v>4175000</v>
      </c>
      <c r="AB47" s="60" t="n"/>
    </row>
    <row r="48" ht="15" customHeight="1">
      <c r="A48" s="27" t="inlineStr">
        <is>
          <t>2483 North Church Street</t>
        </is>
      </c>
      <c r="B48" s="6" t="inlineStr">
        <is>
          <t>Rocky Mount</t>
        </is>
      </c>
      <c r="C48" s="6" t="inlineStr">
        <is>
          <t>NC</t>
        </is>
      </c>
      <c r="D48" s="28" t="n">
        <v>27804</v>
      </c>
      <c r="E48" s="29" t="inlineStr">
        <is>
          <t>Pontus QP Portfolio, LLC</t>
        </is>
      </c>
      <c r="F48" s="6" t="inlineStr">
        <is>
          <t>QP2483</t>
        </is>
      </c>
      <c r="G48" s="29" t="n">
        <v>34059</v>
      </c>
      <c r="H48" s="6" t="n">
        <v>1</v>
      </c>
      <c r="J48" s="8" t="n">
        <v>46394</v>
      </c>
      <c r="N48" s="8" t="n"/>
      <c r="O48" s="5" t="inlineStr">
        <is>
          <t>GPM</t>
        </is>
      </c>
      <c r="P48" s="5" t="inlineStr">
        <is>
          <t>Nash County</t>
        </is>
      </c>
      <c r="Q48" s="5" t="n">
        <v>2524599824</v>
      </c>
      <c r="R48" s="33" t="inlineStr">
        <is>
          <t>https://nashcountync.gov/498/Tax-Payments</t>
        </is>
      </c>
      <c r="S48" s="59" t="n">
        <v>4059000</v>
      </c>
      <c r="T48" s="59" t="n">
        <v>3530000</v>
      </c>
      <c r="U48" s="59" t="n">
        <v>3000000</v>
      </c>
      <c r="V48" s="61" t="inlineStr">
        <is>
          <t>https://nashcountync.gov/498/Tax-Payments</t>
        </is>
      </c>
      <c r="W48" s="61" t="n"/>
      <c r="X48" s="61" t="n"/>
      <c r="Y48" s="57" t="n">
        <v>3386</v>
      </c>
      <c r="Z48" s="58" t="inlineStr">
        <is>
          <t>2025-11-23</t>
        </is>
      </c>
      <c r="AA48" s="59" t="n">
        <v>3601000</v>
      </c>
      <c r="AB48" s="60" t="n"/>
    </row>
    <row r="49" ht="15" customHeight="1">
      <c r="A49" s="27" t="inlineStr">
        <is>
          <t>2521 Empire Drive</t>
        </is>
      </c>
      <c r="B49" s="6" t="inlineStr">
        <is>
          <t>Winston-Salem</t>
        </is>
      </c>
      <c r="C49" s="6" t="inlineStr">
        <is>
          <t>NC</t>
        </is>
      </c>
      <c r="D49" s="28" t="n">
        <v>27103</v>
      </c>
      <c r="E49" s="29" t="inlineStr">
        <is>
          <t>Pontus QP Portfolio, LLC</t>
        </is>
      </c>
      <c r="F49" s="6" t="inlineStr">
        <is>
          <t>QP2521</t>
        </is>
      </c>
      <c r="G49" s="29" t="inlineStr">
        <is>
          <t>6803-97-3242.000</t>
        </is>
      </c>
      <c r="H49" s="6" t="n">
        <v>1</v>
      </c>
      <c r="J49" s="8" t="n">
        <v>46394</v>
      </c>
      <c r="N49" s="8" t="n"/>
      <c r="O49" s="5" t="inlineStr">
        <is>
          <t>GPM</t>
        </is>
      </c>
      <c r="P49" s="5" t="inlineStr">
        <is>
          <t>Forsyth County</t>
        </is>
      </c>
      <c r="Q49" s="5" t="n">
        <v>3367032300</v>
      </c>
      <c r="R49" s="33" t="inlineStr">
        <is>
          <t>http://www.forsyth.cc/tax/taxbill.aspx</t>
        </is>
      </c>
      <c r="S49" s="59" t="n">
        <v>3505000</v>
      </c>
      <c r="T49" s="59" t="n">
        <v>3048000</v>
      </c>
      <c r="U49" s="59" t="n">
        <v>2590000</v>
      </c>
      <c r="V49" s="61" t="inlineStr">
        <is>
          <t>http://www.forsyth.cc/tax/taxbill.aspx</t>
        </is>
      </c>
      <c r="W49" s="61" t="n"/>
      <c r="X49" s="61" t="n"/>
      <c r="Y49" s="57" t="n">
        <v>12154</v>
      </c>
      <c r="Z49" s="58" t="inlineStr">
        <is>
          <t>2025-12-19</t>
        </is>
      </c>
      <c r="AA49" s="59" t="n">
        <v>3658000</v>
      </c>
      <c r="AB49" s="60" t="n"/>
    </row>
    <row r="50" ht="15" customHeight="1">
      <c r="A50" s="27" t="inlineStr">
        <is>
          <t>5423 N Lake Drive</t>
        </is>
      </c>
      <c r="B50" s="6" t="inlineStr">
        <is>
          <t>Morrow</t>
        </is>
      </c>
      <c r="C50" s="6" t="inlineStr">
        <is>
          <t>GA</t>
        </is>
      </c>
      <c r="D50" s="28" t="n">
        <v>30260</v>
      </c>
      <c r="E50" s="29" t="inlineStr">
        <is>
          <t>Pontus GCP Atlanta, LLC</t>
        </is>
      </c>
      <c r="F50" s="6" t="inlineStr">
        <is>
          <t>GCP5423</t>
        </is>
      </c>
      <c r="G50" s="29" t="inlineStr">
        <is>
          <t>2024-1288774</t>
        </is>
      </c>
      <c r="H50" s="6" t="n">
        <v>1</v>
      </c>
      <c r="J50" s="8" t="n">
        <v>46413</v>
      </c>
      <c r="O50" s="5" t="inlineStr">
        <is>
          <t>Kabob's</t>
        </is>
      </c>
      <c r="P50" s="5" t="inlineStr">
        <is>
          <t>Clayton County</t>
        </is>
      </c>
      <c r="R50" s="33" t="inlineStr">
        <is>
          <t>https://publicaccess.claytoncountyga.gov/search/CommonSearch.aspx?mode=REALPROP</t>
        </is>
      </c>
      <c r="S50" s="59" t="n">
        <v>4440000</v>
      </c>
      <c r="T50" s="59" t="n">
        <v>3861000</v>
      </c>
      <c r="U50" s="59" t="n">
        <v>3281000</v>
      </c>
      <c r="V50" s="61" t="inlineStr">
        <is>
          <t>https://publicaccess.claytoncountyga.gov/search/CommonSearch.aspx?mode=REALPROP</t>
        </is>
      </c>
      <c r="W50" s="61" t="inlineStr">
        <is>
          <t>https://example.com/x/property-49</t>
        </is>
      </c>
      <c r="X50" s="61" t="n"/>
      <c r="Y50" s="57" t="n">
        <v>4680</v>
      </c>
      <c r="Z50" s="58" t="inlineStr">
        <is>
          <t>2025-11-24</t>
        </is>
      </c>
      <c r="AA50" s="59" t="n">
        <v>4325000</v>
      </c>
      <c r="AB50" s="60" t="n"/>
    </row>
    <row r="51" ht="15" customHeight="1">
      <c r="A51" s="27" t="inlineStr">
        <is>
          <t>5377 N Lake Drive</t>
        </is>
      </c>
      <c r="B51" s="6" t="inlineStr">
        <is>
          <t>Morrow</t>
        </is>
      </c>
      <c r="C51" s="6" t="inlineStr">
        <is>
          <t>GA</t>
        </is>
      </c>
      <c r="D51" s="28" t="n">
        <v>30260</v>
      </c>
      <c r="E51" s="29" t="inlineStr">
        <is>
          <t>Pontus GCP Atlanta, LLC</t>
        </is>
      </c>
      <c r="F51" s="6" t="inlineStr">
        <is>
          <t>GCP5377</t>
        </is>
      </c>
      <c r="G51" s="29" t="inlineStr">
        <is>
          <t>2024-1289365</t>
        </is>
      </c>
      <c r="H51" s="6" t="n">
        <v>1</v>
      </c>
      <c r="J51" s="8" t="n">
        <v>46413</v>
      </c>
      <c r="O51" s="5" t="inlineStr">
        <is>
          <t>Kabob's</t>
        </is>
      </c>
      <c r="P51" s="5" t="inlineStr">
        <is>
          <t>Clayton County</t>
        </is>
      </c>
      <c r="R51" s="33" t="inlineStr">
        <is>
          <t>https://publicaccess.claytoncountyga.gov/search/CommonSearch.aspx?mode=REALPROP</t>
        </is>
      </c>
      <c r="S51" s="59" t="n">
        <v>4751000</v>
      </c>
      <c r="T51" s="59" t="n">
        <v>4132000</v>
      </c>
      <c r="U51" s="59" t="n">
        <v>3512000</v>
      </c>
      <c r="V51" s="61" t="inlineStr">
        <is>
          <t>https://publicaccess.claytoncountyga.gov/search/CommonSearch.aspx?mode=REALPROP</t>
        </is>
      </c>
      <c r="W51" s="61" t="n"/>
      <c r="X51" s="61" t="n"/>
      <c r="Y51" s="57" t="n">
        <v>22075</v>
      </c>
      <c r="Z51" s="58" t="inlineStr">
        <is>
          <t>2025-12-27</t>
        </is>
      </c>
      <c r="AA51" s="59" t="n">
        <v>4463000</v>
      </c>
      <c r="AB51" s="60" t="n"/>
    </row>
    <row r="52" ht="15" customHeight="1">
      <c r="A52" s="27" t="inlineStr">
        <is>
          <t>4225 Woods Place</t>
        </is>
      </c>
      <c r="B52" s="6" t="inlineStr">
        <is>
          <t>Abilene</t>
        </is>
      </c>
      <c r="C52" s="6" t="inlineStr">
        <is>
          <t>TX</t>
        </is>
      </c>
      <c r="D52" s="28" t="n">
        <v>79602</v>
      </c>
      <c r="E52" s="29" t="inlineStr">
        <is>
          <t>Pontus OH Abilene, LLC</t>
        </is>
      </c>
      <c r="F52" s="6" t="inlineStr">
        <is>
          <t>OH4225</t>
        </is>
      </c>
      <c r="G52" s="29" t="n">
        <v>68450000100</v>
      </c>
      <c r="H52" s="6" t="n">
        <v>1</v>
      </c>
      <c r="J52" s="8" t="n">
        <v>46418</v>
      </c>
      <c r="O52" s="5" t="inlineStr">
        <is>
          <t>Oceans</t>
        </is>
      </c>
      <c r="P52" s="5" t="inlineStr">
        <is>
          <t>Taylor County</t>
        </is>
      </c>
      <c r="Q52" s="5" t="n">
        <v>3256769381</v>
      </c>
      <c r="R52" s="33" t="inlineStr">
        <is>
          <t>www.taylor-cad.org</t>
        </is>
      </c>
      <c r="S52" s="59" t="n">
        <v>2587000</v>
      </c>
      <c r="T52" s="59" t="n">
        <v>2250000</v>
      </c>
      <c r="U52" s="59" t="n">
        <v>1912000</v>
      </c>
      <c r="V52" s="61" t="inlineStr">
        <is>
          <t>www.taylor-cad.org</t>
        </is>
      </c>
      <c r="W52" s="61" t="n"/>
      <c r="X52" s="61" t="n"/>
      <c r="Y52" s="57" t="n">
        <v>15160</v>
      </c>
      <c r="Z52" s="58" t="inlineStr">
        <is>
          <t>2025-12-12</t>
        </is>
      </c>
      <c r="AA52" s="59" t="n">
        <v>2296000</v>
      </c>
      <c r="AB52" s="60" t="n"/>
    </row>
    <row r="53" ht="15" customHeight="1">
      <c r="A53" s="27" t="inlineStr">
        <is>
          <t>3300 South FM 1788</t>
        </is>
      </c>
      <c r="B53" s="6" t="inlineStr">
        <is>
          <t>Midland</t>
        </is>
      </c>
      <c r="C53" s="6" t="inlineStr">
        <is>
          <t>TX</t>
        </is>
      </c>
      <c r="D53" s="28" t="n">
        <v>79706</v>
      </c>
      <c r="E53" s="29" t="inlineStr">
        <is>
          <t>Pontus OH Midland, LLC</t>
        </is>
      </c>
      <c r="F53" s="6" t="inlineStr">
        <is>
          <t>OH3300</t>
        </is>
      </c>
      <c r="G53" s="29" t="inlineStr">
        <is>
          <t>R000020980</t>
        </is>
      </c>
      <c r="H53" s="6" t="n">
        <v>1</v>
      </c>
      <c r="J53" s="8" t="n">
        <v>46418</v>
      </c>
      <c r="O53" s="5" t="inlineStr">
        <is>
          <t>Oceans</t>
        </is>
      </c>
      <c r="P53" s="5" t="inlineStr">
        <is>
          <t>Midland Central Appraisal District</t>
        </is>
      </c>
      <c r="Q53" s="5" t="n">
        <v>4326994991</v>
      </c>
      <c r="R53" s="33" t="inlineStr">
        <is>
          <t>http://iswdataclient.azurewebsites.net/webSearchID.aspx?dbkey=midlandcad</t>
        </is>
      </c>
      <c r="S53" s="59" t="n">
        <v>3675000</v>
      </c>
      <c r="T53" s="59" t="n">
        <v>3196000</v>
      </c>
      <c r="U53" s="59" t="n">
        <v>2716000</v>
      </c>
      <c r="V53" s="61" t="inlineStr">
        <is>
          <t>http://iswdataclient.azurewebsites.net/webSearchID.aspx?dbkey=midlandcad</t>
        </is>
      </c>
      <c r="W53" s="61" t="n"/>
      <c r="X53" s="61" t="n"/>
      <c r="Y53" s="62" t="n"/>
      <c r="Z53" s="62" t="n"/>
      <c r="AA53" s="59" t="n">
        <v>3836000</v>
      </c>
      <c r="AB53" s="60" t="n"/>
    </row>
    <row r="54" ht="15" customHeight="1">
      <c r="A54" s="27" t="inlineStr">
        <is>
          <t>1120 WI-67 (Suite B)</t>
        </is>
      </c>
      <c r="B54" s="6" t="inlineStr">
        <is>
          <t>Kiel</t>
        </is>
      </c>
      <c r="C54" s="6" t="inlineStr">
        <is>
          <t>WI</t>
        </is>
      </c>
      <c r="D54" s="28" t="n">
        <v>53042</v>
      </c>
      <c r="E54" s="29" t="inlineStr">
        <is>
          <t>PC Acquisition, LLC</t>
        </is>
      </c>
      <c r="F54" s="6" t="inlineStr">
        <is>
          <t>PCA1120b</t>
        </is>
      </c>
      <c r="G54" s="29" t="inlineStr">
        <is>
          <t>051-029-006-004.00</t>
        </is>
      </c>
      <c r="H54" s="6" t="n">
        <v>2</v>
      </c>
      <c r="J54" s="8" t="n">
        <v>46418</v>
      </c>
      <c r="K54" s="8" t="n">
        <v>46599</v>
      </c>
      <c r="O54" s="5" t="inlineStr">
        <is>
          <t>Pontus - CAM</t>
        </is>
      </c>
      <c r="P54" s="5" t="inlineStr">
        <is>
          <t>Manitowoc County</t>
        </is>
      </c>
      <c r="Q54" s="5" t="inlineStr">
        <is>
          <t>920-894-2909</t>
        </is>
      </c>
      <c r="R54" s="33" t="inlineStr">
        <is>
          <t>https://ascent.co.manitowoc.wi.us/LandRecords/PropertyListing/RealEstateTaxParcel#/Search</t>
        </is>
      </c>
      <c r="S54" s="59" t="n">
        <v>4473000</v>
      </c>
      <c r="T54" s="59" t="n">
        <v>3890000</v>
      </c>
      <c r="U54" s="59" t="n">
        <v>3306000</v>
      </c>
      <c r="V54" s="61" t="inlineStr">
        <is>
          <t>https://ascent.co.manitowoc.wi.us/LandRecords/PropertyListing/RealEstateTaxParcel#/Search</t>
        </is>
      </c>
      <c r="W54" s="61" t="n"/>
      <c r="X54" s="61" t="n"/>
      <c r="Y54" s="57" t="n">
        <v>13352</v>
      </c>
      <c r="Z54" s="58" t="inlineStr">
        <is>
          <t>2025-12-14</t>
        </is>
      </c>
      <c r="AA54" s="59" t="n">
        <v>4357000</v>
      </c>
      <c r="AB54" s="60" t="n"/>
    </row>
    <row r="55" ht="15" customHeight="1">
      <c r="A55" s="27" t="inlineStr">
        <is>
          <t>1120 WI-67 (Suite A)</t>
        </is>
      </c>
      <c r="B55" s="6" t="inlineStr">
        <is>
          <t>Kiel</t>
        </is>
      </c>
      <c r="C55" s="6" t="inlineStr">
        <is>
          <t>WI</t>
        </is>
      </c>
      <c r="D55" s="28" t="n">
        <v>53042</v>
      </c>
      <c r="E55" s="29" t="inlineStr">
        <is>
          <t>PC Acquisition, LLC</t>
        </is>
      </c>
      <c r="F55" s="6" t="inlineStr">
        <is>
          <t>PCA1120a</t>
        </is>
      </c>
      <c r="G55" s="29" t="inlineStr">
        <is>
          <t>051-029-006-004.00</t>
        </is>
      </c>
      <c r="H55" s="6" t="n">
        <v>2</v>
      </c>
      <c r="J55" s="8" t="n">
        <v>46418</v>
      </c>
      <c r="K55" s="8" t="n">
        <v>46599</v>
      </c>
      <c r="O55" s="5" t="inlineStr">
        <is>
          <t>Pontus - CAM</t>
        </is>
      </c>
      <c r="P55" s="5" t="inlineStr">
        <is>
          <t>Manitowoc County</t>
        </is>
      </c>
      <c r="Q55" s="5" t="inlineStr">
        <is>
          <t>920-894-2909</t>
        </is>
      </c>
      <c r="R55" s="33" t="inlineStr">
        <is>
          <t>https://ascent.co.manitowoc.wi.us/LandRecords/PropertyListing/RealEstateTaxParcel#/Search</t>
        </is>
      </c>
      <c r="S55" s="59" t="n">
        <v>2749000</v>
      </c>
      <c r="T55" s="59" t="n">
        <v>2391000</v>
      </c>
      <c r="U55" s="59" t="n">
        <v>2032000</v>
      </c>
      <c r="V55" s="61" t="inlineStr">
        <is>
          <t>https://ascent.co.manitowoc.wi.us/LandRecords/PropertyListing/RealEstateTaxParcel#/Search</t>
        </is>
      </c>
      <c r="W55" s="61" t="n"/>
      <c r="X55" s="61" t="n"/>
      <c r="Y55" s="57" t="n">
        <v>14775</v>
      </c>
      <c r="Z55" s="58" t="inlineStr">
        <is>
          <t>2025-12-12</t>
        </is>
      </c>
      <c r="AA55" s="59" t="n">
        <v>2583000</v>
      </c>
      <c r="AB55" s="60" t="n"/>
    </row>
    <row r="56" ht="15" customHeight="1">
      <c r="A56" s="27" t="inlineStr">
        <is>
          <t>18092 FM1314</t>
        </is>
      </c>
      <c r="B56" s="6" t="inlineStr">
        <is>
          <t>Conroe</t>
        </is>
      </c>
      <c r="C56" s="6" t="inlineStr">
        <is>
          <t>TX</t>
        </is>
      </c>
      <c r="D56" s="28" t="n">
        <v>77302</v>
      </c>
      <c r="E56" s="29" t="inlineStr">
        <is>
          <t>Pontus POG Portfolio II, LLC</t>
        </is>
      </c>
      <c r="F56" s="6" t="inlineStr">
        <is>
          <t>POG18092</t>
        </is>
      </c>
      <c r="G56" s="29" t="n">
        <v>94310000300</v>
      </c>
      <c r="H56" s="6" t="n">
        <v>1</v>
      </c>
      <c r="J56" s="8" t="n">
        <v>46418</v>
      </c>
      <c r="O56" s="5" t="inlineStr">
        <is>
          <t>Pinnacle</t>
        </is>
      </c>
      <c r="S56" s="59" t="n">
        <v>2811000</v>
      </c>
      <c r="T56" s="59" t="n">
        <v>2445000</v>
      </c>
      <c r="U56" s="59" t="n">
        <v>2078000</v>
      </c>
      <c r="V56" s="61" t="inlineStr">
        <is>
          <t>https://example.com/w/property-55</t>
        </is>
      </c>
      <c r="W56" s="61" t="n"/>
      <c r="X56" s="61" t="inlineStr">
        <is>
          <t>https://example.com/y/property-55</t>
        </is>
      </c>
      <c r="Y56" s="57" t="n">
        <v>11848</v>
      </c>
      <c r="Z56" s="58" t="inlineStr">
        <is>
          <t>2025-11-25</t>
        </is>
      </c>
      <c r="AA56" s="59" t="n">
        <v>2494000</v>
      </c>
      <c r="AB56" s="60" t="n"/>
    </row>
    <row r="57" ht="15" customHeight="1">
      <c r="A57" s="27" t="inlineStr">
        <is>
          <t>16206 Spring Cypress Road</t>
        </is>
      </c>
      <c r="B57" s="6" t="inlineStr">
        <is>
          <t>Cypress</t>
        </is>
      </c>
      <c r="C57" s="6" t="inlineStr">
        <is>
          <t>TX</t>
        </is>
      </c>
      <c r="D57" s="28" t="n">
        <v>77429</v>
      </c>
      <c r="E57" s="29" t="inlineStr">
        <is>
          <t>Pontus POG Portfolio II, LLC</t>
        </is>
      </c>
      <c r="F57" s="6" t="inlineStr">
        <is>
          <t>POG16206</t>
        </is>
      </c>
      <c r="G57" s="29" t="n"/>
      <c r="H57" s="6" t="n">
        <v>1</v>
      </c>
      <c r="J57" s="8" t="n">
        <v>46418</v>
      </c>
      <c r="O57" s="5" t="inlineStr">
        <is>
          <t>Pinnacle</t>
        </is>
      </c>
      <c r="S57" s="59" t="n">
        <v>1175000</v>
      </c>
      <c r="T57" s="59" t="n">
        <v>1022000</v>
      </c>
      <c r="U57" s="59" t="n">
        <v>868000</v>
      </c>
      <c r="V57" s="61" t="inlineStr">
        <is>
          <t>https://example.com/w/property-56</t>
        </is>
      </c>
      <c r="W57" s="61" t="inlineStr">
        <is>
          <t>https://example.com/x/property-56</t>
        </is>
      </c>
      <c r="X57" s="61" t="n"/>
      <c r="Y57" s="57" t="n">
        <v>7947</v>
      </c>
      <c r="Z57" s="58" t="inlineStr">
        <is>
          <t>2025-11-21</t>
        </is>
      </c>
      <c r="AA57" s="59" t="n">
        <v>1227000</v>
      </c>
      <c r="AB57" s="60" t="n"/>
    </row>
    <row r="58" ht="15" customHeight="1">
      <c r="A58" s="27" t="inlineStr">
        <is>
          <t>776 NE Alsbury</t>
        </is>
      </c>
      <c r="B58" s="37" t="inlineStr">
        <is>
          <t>Burleson</t>
        </is>
      </c>
      <c r="C58" s="6" t="inlineStr">
        <is>
          <t>TX</t>
        </is>
      </c>
      <c r="D58" s="28" t="n">
        <v>76028</v>
      </c>
      <c r="E58" s="29" t="inlineStr">
        <is>
          <t>Pontus POG Portfolio, LLC</t>
        </is>
      </c>
      <c r="F58" s="6" t="inlineStr">
        <is>
          <t>POG776</t>
        </is>
      </c>
      <c r="G58" s="29" t="n"/>
      <c r="H58" s="6" t="n">
        <v>1</v>
      </c>
      <c r="J58" s="8" t="n">
        <v>46418</v>
      </c>
      <c r="O58" s="5" t="inlineStr">
        <is>
          <t>Pinnacle</t>
        </is>
      </c>
      <c r="S58" s="59" t="n">
        <v>2608000</v>
      </c>
      <c r="T58" s="59" t="n">
        <v>2268000</v>
      </c>
      <c r="U58" s="59" t="n">
        <v>1927000</v>
      </c>
      <c r="V58" s="61" t="inlineStr">
        <is>
          <t>https://example.com/w/property-57</t>
        </is>
      </c>
      <c r="W58" s="61" t="n"/>
      <c r="X58" s="61" t="n"/>
      <c r="Y58" s="57" t="n">
        <v>15275</v>
      </c>
      <c r="Z58" s="58" t="inlineStr">
        <is>
          <t>2025-11-16</t>
        </is>
      </c>
      <c r="AA58" s="59" t="n">
        <v>2541000</v>
      </c>
      <c r="AB58" s="60" t="n"/>
    </row>
    <row r="59" ht="15" customHeight="1">
      <c r="A59" s="27" t="inlineStr">
        <is>
          <t>2819 I-30</t>
        </is>
      </c>
      <c r="B59" s="37" t="inlineStr">
        <is>
          <t>Caddo Mills</t>
        </is>
      </c>
      <c r="C59" s="6" t="inlineStr">
        <is>
          <t>TX</t>
        </is>
      </c>
      <c r="D59" s="28" t="n">
        <v>75135</v>
      </c>
      <c r="E59" s="29" t="inlineStr">
        <is>
          <t>Pontus POG Portfolio, LLC</t>
        </is>
      </c>
      <c r="F59" s="6" t="inlineStr">
        <is>
          <t>POG2819</t>
        </is>
      </c>
      <c r="G59" s="29" t="n">
        <v>23748</v>
      </c>
      <c r="H59" s="6" t="n">
        <v>1</v>
      </c>
      <c r="J59" s="8" t="n">
        <v>46418</v>
      </c>
      <c r="O59" s="5" t="inlineStr">
        <is>
          <t>Pinnacle</t>
        </is>
      </c>
      <c r="P59" s="5" t="inlineStr">
        <is>
          <t>Hunt</t>
        </is>
      </c>
      <c r="R59" s="33" t="inlineStr">
        <is>
          <t>https://esearch.hctax.info/Property/View/23748?year=2024&amp;ownerId=1385747</t>
        </is>
      </c>
      <c r="S59" s="59" t="n">
        <v>3571000</v>
      </c>
      <c r="T59" s="59" t="n">
        <v>3106000</v>
      </c>
      <c r="U59" s="59" t="n">
        <v>2640000</v>
      </c>
      <c r="V59" s="61" t="inlineStr">
        <is>
          <t>https://esearch.hctax.info/Property/View/23748?year=2024&amp;ownerId=1385747</t>
        </is>
      </c>
      <c r="W59" s="61" t="n"/>
      <c r="X59" s="61" t="n"/>
      <c r="Y59" s="57" t="n">
        <v>14210</v>
      </c>
      <c r="Z59" s="58" t="inlineStr">
        <is>
          <t>2025-12-18</t>
        </is>
      </c>
      <c r="AA59" s="59" t="n">
        <v>3355000</v>
      </c>
      <c r="AB59" s="60" t="n"/>
    </row>
    <row r="60" ht="15" customHeight="1">
      <c r="A60" s="27" t="inlineStr">
        <is>
          <t>3204 Alta Mere</t>
        </is>
      </c>
      <c r="B60" s="37" t="inlineStr">
        <is>
          <t xml:space="preserve">Fort Worth </t>
        </is>
      </c>
      <c r="C60" s="6" t="inlineStr">
        <is>
          <t>TX</t>
        </is>
      </c>
      <c r="D60" s="28" t="n">
        <v>76116</v>
      </c>
      <c r="E60" s="29" t="inlineStr">
        <is>
          <t>Pontus POG Portfolio, LLC</t>
        </is>
      </c>
      <c r="F60" s="6" t="inlineStr">
        <is>
          <t>POG3204</t>
        </is>
      </c>
      <c r="G60" s="29" t="n"/>
      <c r="H60" s="6" t="n">
        <v>1</v>
      </c>
      <c r="J60" s="8" t="n">
        <v>46418</v>
      </c>
      <c r="O60" s="5" t="inlineStr">
        <is>
          <t>Pinnacle</t>
        </is>
      </c>
      <c r="S60" s="59" t="n">
        <v>2124000</v>
      </c>
      <c r="T60" s="59" t="n">
        <v>1847000</v>
      </c>
      <c r="U60" s="59" t="n">
        <v>1569000</v>
      </c>
      <c r="V60" s="61" t="inlineStr">
        <is>
          <t>https://example.com/w/property-59</t>
        </is>
      </c>
      <c r="W60" s="61" t="n"/>
      <c r="X60" s="61" t="n"/>
      <c r="Y60" s="57" t="n">
        <v>15753</v>
      </c>
      <c r="Z60" s="58" t="inlineStr">
        <is>
          <t>2025-12-21</t>
        </is>
      </c>
      <c r="AA60" s="59" t="n">
        <v>1884000</v>
      </c>
      <c r="AB60" s="60" t="n"/>
    </row>
    <row r="61" ht="15" customHeight="1">
      <c r="A61" s="27" t="inlineStr">
        <is>
          <t>1406 West Gulf Bank Rd</t>
        </is>
      </c>
      <c r="B61" s="37" t="inlineStr">
        <is>
          <t>Houston</t>
        </is>
      </c>
      <c r="C61" s="6" t="inlineStr">
        <is>
          <t>TX</t>
        </is>
      </c>
      <c r="D61" s="28" t="n">
        <v>77088</v>
      </c>
      <c r="E61" s="29" t="inlineStr">
        <is>
          <t>Pontus POG Portfolio, LLC</t>
        </is>
      </c>
      <c r="F61" s="6" t="inlineStr">
        <is>
          <t>POG1406</t>
        </is>
      </c>
      <c r="G61" s="29" t="inlineStr">
        <is>
          <t xml:space="preserve">102-050-000-0014	</t>
        </is>
      </c>
      <c r="H61" s="6" t="n">
        <v>1</v>
      </c>
      <c r="J61" s="8" t="n">
        <v>46418</v>
      </c>
      <c r="O61" s="5" t="inlineStr">
        <is>
          <t>Pinnacle</t>
        </is>
      </c>
      <c r="S61" s="59" t="n">
        <v>4313000</v>
      </c>
      <c r="T61" s="59" t="n">
        <v>3751000</v>
      </c>
      <c r="U61" s="59" t="n">
        <v>3188000</v>
      </c>
      <c r="V61" s="61" t="inlineStr">
        <is>
          <t>https://example.com/w/property-60</t>
        </is>
      </c>
      <c r="W61" s="61" t="n"/>
      <c r="X61" s="61" t="n"/>
      <c r="Y61" s="57" t="n">
        <v>11582</v>
      </c>
      <c r="Z61" s="58" t="inlineStr">
        <is>
          <t>2025-11-18</t>
        </is>
      </c>
      <c r="AA61" s="59" t="n">
        <v>4502000</v>
      </c>
      <c r="AB61" s="60" t="n"/>
    </row>
    <row r="62" ht="15" customHeight="1">
      <c r="A62" s="27" t="inlineStr">
        <is>
          <t>2221 Ella Blvd</t>
        </is>
      </c>
      <c r="B62" s="37" t="inlineStr">
        <is>
          <t>Houston</t>
        </is>
      </c>
      <c r="C62" s="6" t="inlineStr">
        <is>
          <t>TX</t>
        </is>
      </c>
      <c r="D62" s="28" t="n">
        <v>77008</v>
      </c>
      <c r="E62" s="29" t="inlineStr">
        <is>
          <t>Pontus POG Portfolio, LLC</t>
        </is>
      </c>
      <c r="F62" s="6" t="inlineStr">
        <is>
          <t>POG2221</t>
        </is>
      </c>
      <c r="G62" s="29" t="n"/>
      <c r="H62" s="6" t="n">
        <v>1</v>
      </c>
      <c r="J62" s="8" t="n">
        <v>46418</v>
      </c>
      <c r="O62" s="5" t="inlineStr">
        <is>
          <t>Pinnacle</t>
        </is>
      </c>
      <c r="S62" s="59" t="n">
        <v>818000</v>
      </c>
      <c r="T62" s="59" t="n">
        <v>712000</v>
      </c>
      <c r="U62" s="59" t="n">
        <v>605000</v>
      </c>
      <c r="V62" s="61" t="inlineStr">
        <is>
          <t>https://example.com/w/property-61</t>
        </is>
      </c>
      <c r="W62" s="61" t="n"/>
      <c r="X62" s="61" t="n"/>
      <c r="Y62" s="57" t="n">
        <v>12966</v>
      </c>
      <c r="Z62" s="58" t="inlineStr">
        <is>
          <t>2025-11-27</t>
        </is>
      </c>
      <c r="AA62" s="59" t="n">
        <v>798000</v>
      </c>
      <c r="AB62" s="60" t="n"/>
    </row>
    <row r="63" ht="15" customHeight="1">
      <c r="A63" s="27" t="inlineStr">
        <is>
          <t>725 W Round Grove Rd</t>
        </is>
      </c>
      <c r="B63" s="37" t="inlineStr">
        <is>
          <t>Lewisville</t>
        </is>
      </c>
      <c r="C63" s="6" t="inlineStr">
        <is>
          <t>TX</t>
        </is>
      </c>
      <c r="D63" s="28" t="n">
        <v>75067</v>
      </c>
      <c r="E63" s="29" t="inlineStr">
        <is>
          <t>Pontus POG Portfolio, LLC</t>
        </is>
      </c>
      <c r="F63" s="6" t="inlineStr">
        <is>
          <t>POG725</t>
        </is>
      </c>
      <c r="G63" s="29" t="n"/>
      <c r="H63" s="6" t="n">
        <v>1</v>
      </c>
      <c r="J63" s="8" t="n">
        <v>46418</v>
      </c>
      <c r="O63" s="5" t="inlineStr">
        <is>
          <t>Pinnacle</t>
        </is>
      </c>
      <c r="R63" s="33" t="inlineStr">
        <is>
          <t>https://taxweb.dentoncounty.gov/Accounts/AccountDetails?taxAccountNumber=204320DEN</t>
        </is>
      </c>
      <c r="S63" s="59" t="n">
        <v>265000</v>
      </c>
      <c r="T63" s="59" t="n">
        <v>231000</v>
      </c>
      <c r="U63" s="59" t="n">
        <v>196000</v>
      </c>
      <c r="V63" s="61" t="inlineStr">
        <is>
          <t>https://taxweb.dentoncounty.gov/Accounts/AccountDetails?taxAccountNumber=204320DEN</t>
        </is>
      </c>
      <c r="W63" s="61" t="n"/>
      <c r="X63" s="61" t="n"/>
      <c r="Y63" s="57" t="n">
        <v>20143</v>
      </c>
      <c r="Z63" s="58" t="inlineStr">
        <is>
          <t>2025-11-22</t>
        </is>
      </c>
      <c r="AA63" s="59" t="n">
        <v>250000</v>
      </c>
      <c r="AB63" s="60" t="n"/>
    </row>
    <row r="64" ht="15" customHeight="1">
      <c r="A64" s="27" t="inlineStr">
        <is>
          <t>811 Strickland Drive</t>
        </is>
      </c>
      <c r="B64" s="37" t="inlineStr">
        <is>
          <t>Orange</t>
        </is>
      </c>
      <c r="C64" s="6" t="inlineStr">
        <is>
          <t>TX</t>
        </is>
      </c>
      <c r="D64" s="28" t="n">
        <v>77630</v>
      </c>
      <c r="E64" s="29" t="inlineStr">
        <is>
          <t>Pontus POG Portfolio, LLC</t>
        </is>
      </c>
      <c r="F64" s="6" t="inlineStr">
        <is>
          <t>POG811</t>
        </is>
      </c>
      <c r="G64" s="29" t="n"/>
      <c r="H64" s="6" t="n">
        <v>1</v>
      </c>
      <c r="J64" s="8" t="n">
        <v>46418</v>
      </c>
      <c r="O64" s="5" t="inlineStr">
        <is>
          <t>Pinnacle</t>
        </is>
      </c>
      <c r="S64" s="59" t="n">
        <v>3952000</v>
      </c>
      <c r="T64" s="59" t="n">
        <v>3437000</v>
      </c>
      <c r="U64" s="59" t="n">
        <v>2921000</v>
      </c>
      <c r="V64" s="61" t="inlineStr">
        <is>
          <t>https://example.com/w/property-63</t>
        </is>
      </c>
      <c r="W64" s="61" t="inlineStr">
        <is>
          <t>https://example.com/x/property-63</t>
        </is>
      </c>
      <c r="X64" s="61" t="n"/>
      <c r="Y64" s="57" t="n">
        <v>13162</v>
      </c>
      <c r="Z64" s="58" t="inlineStr">
        <is>
          <t>2025-11-26</t>
        </is>
      </c>
      <c r="AA64" s="59" t="n">
        <v>3506000</v>
      </c>
      <c r="AB64" s="60" t="n"/>
    </row>
    <row r="65" ht="15" customHeight="1">
      <c r="A65" s="27" t="inlineStr">
        <is>
          <t>2520 Hwy 146</t>
        </is>
      </c>
      <c r="B65" s="37" t="inlineStr">
        <is>
          <t xml:space="preserve">Texas City </t>
        </is>
      </c>
      <c r="C65" s="6" t="inlineStr">
        <is>
          <t>TX</t>
        </is>
      </c>
      <c r="D65" s="28" t="n">
        <v>77590</v>
      </c>
      <c r="E65" s="29" t="inlineStr">
        <is>
          <t>Pontus POG Portfolio, LLC</t>
        </is>
      </c>
      <c r="F65" s="6" t="inlineStr">
        <is>
          <t>POG2520</t>
        </is>
      </c>
      <c r="G65" s="29" t="n"/>
      <c r="H65" s="6" t="n">
        <v>1</v>
      </c>
      <c r="J65" s="8" t="n">
        <v>46418</v>
      </c>
      <c r="O65" s="5" t="inlineStr">
        <is>
          <t>Pinnacle</t>
        </is>
      </c>
      <c r="S65" s="59" t="n">
        <v>3079000</v>
      </c>
      <c r="T65" s="59" t="n">
        <v>2678000</v>
      </c>
      <c r="U65" s="59" t="n">
        <v>2276000</v>
      </c>
      <c r="V65" s="61" t="inlineStr">
        <is>
          <t>https://example.com/w/property-64</t>
        </is>
      </c>
      <c r="W65" s="61" t="n"/>
      <c r="X65" s="61" t="n"/>
      <c r="Y65" s="57" t="n">
        <v>6064</v>
      </c>
      <c r="Z65" s="58" t="inlineStr">
        <is>
          <t>2025-12-20</t>
        </is>
      </c>
      <c r="AA65" s="59" t="n">
        <v>3214000</v>
      </c>
      <c r="AB65" s="60" t="n"/>
    </row>
    <row r="66" ht="15" customHeight="1">
      <c r="A66" s="27" t="inlineStr">
        <is>
          <t>105 E 7th St</t>
        </is>
      </c>
      <c r="B66" s="37" t="inlineStr">
        <is>
          <t>Winfield</t>
        </is>
      </c>
      <c r="C66" s="6" t="inlineStr">
        <is>
          <t>TX</t>
        </is>
      </c>
      <c r="D66" s="28" t="n">
        <v>75493</v>
      </c>
      <c r="E66" s="29" t="inlineStr">
        <is>
          <t>Pontus POG Portfolio, LLC</t>
        </is>
      </c>
      <c r="F66" s="6" t="inlineStr">
        <is>
          <t>POG105</t>
        </is>
      </c>
      <c r="G66" s="29" t="n"/>
      <c r="H66" s="6" t="n">
        <v>1</v>
      </c>
      <c r="J66" s="8" t="n">
        <v>46418</v>
      </c>
      <c r="O66" s="5" t="inlineStr">
        <is>
          <t>Pinnacle</t>
        </is>
      </c>
      <c r="S66" s="59" t="n">
        <v>5041000</v>
      </c>
      <c r="T66" s="59" t="n">
        <v>4384000</v>
      </c>
      <c r="U66" s="59" t="n">
        <v>3726000</v>
      </c>
      <c r="V66" s="61" t="inlineStr">
        <is>
          <t>https://example.com/w/property-65</t>
        </is>
      </c>
      <c r="W66" s="61" t="n"/>
      <c r="X66" s="61" t="n"/>
      <c r="Y66" s="63" t="n"/>
      <c r="Z66" s="62" t="n"/>
      <c r="AA66" s="59" t="n">
        <v>4911000</v>
      </c>
      <c r="AB66" s="60" t="n"/>
    </row>
    <row r="67" ht="15" customHeight="1">
      <c r="A67" s="27" t="inlineStr">
        <is>
          <t>110 W Bloomingdale Ave</t>
        </is>
      </c>
      <c r="B67" s="6" t="inlineStr">
        <is>
          <t>Brandon</t>
        </is>
      </c>
      <c r="C67" s="6" t="inlineStr">
        <is>
          <t>FL</t>
        </is>
      </c>
      <c r="D67" s="28" t="n">
        <v>33511</v>
      </c>
      <c r="E67" s="29" t="inlineStr">
        <is>
          <t>Pontus Vault Portfolio, LLC</t>
        </is>
      </c>
      <c r="F67" s="6" t="inlineStr">
        <is>
          <t>VP110</t>
        </is>
      </c>
      <c r="G67" s="29" t="inlineStr">
        <is>
          <t>A0733680000</t>
        </is>
      </c>
      <c r="H67" s="6" t="n">
        <v>1</v>
      </c>
      <c r="I67" s="7" t="n">
        <v>46387</v>
      </c>
      <c r="J67" s="8" t="n">
        <v>46477</v>
      </c>
      <c r="N67" s="8" t="n"/>
      <c r="O67" s="5" t="inlineStr">
        <is>
          <t>Pontus</t>
        </is>
      </c>
      <c r="P67" s="5" t="inlineStr">
        <is>
          <t>Hillsborough County</t>
        </is>
      </c>
      <c r="Q67" s="5" t="n">
        <v>8132725890</v>
      </c>
      <c r="R67" s="33" t="inlineStr">
        <is>
          <t>https://county-taxes.net/hillsborough/hillsborough/property-tax/aGlsbHNib3JvdWdoOnJlYWxfZXN0YXRlOnBhcmVudHM6ZjYxM2RkNGQtZTUwOS0xMWViLWFmNmMtMDA1MDU2ODFiMmNm/bills/b3f75606-85a3-11ef-b227-00505681f4ed</t>
        </is>
      </c>
      <c r="S67" s="59" t="n">
        <v>1537000</v>
      </c>
      <c r="T67" s="59" t="n">
        <v>1337000</v>
      </c>
      <c r="U67" s="59" t="n">
        <v>1136000</v>
      </c>
      <c r="V67" s="61" t="inlineStr">
        <is>
          <t>https://county-taxes.net/hillsborough/hillsborough/property-tax/aGlsbHNib3JvdWdoOnJlYWxfZXN0YXRlOnBhcmVudHM6ZjYxM2RkNGQtZTUwOS0xMWViLWFmNmMtMDA1MDU2ODFiMmNm/bills/b3f75606-85a3-11ef-b227-00505681f4ed</t>
        </is>
      </c>
      <c r="W67" s="61" t="n"/>
      <c r="X67" s="61" t="inlineStr">
        <is>
          <t>https://example.com/y/property-66</t>
        </is>
      </c>
      <c r="Y67" s="57" t="n">
        <v>21343</v>
      </c>
      <c r="Z67" s="58" t="inlineStr">
        <is>
          <t>2025-11-24</t>
        </is>
      </c>
      <c r="AA67" s="59" t="n">
        <v>1445000</v>
      </c>
      <c r="AB67" s="60" t="n"/>
    </row>
    <row r="68" ht="15" customHeight="1">
      <c r="A68" s="27" t="inlineStr">
        <is>
          <t>2691 Placida Rd</t>
        </is>
      </c>
      <c r="B68" s="6" t="inlineStr">
        <is>
          <t>Grove City</t>
        </is>
      </c>
      <c r="C68" s="6" t="inlineStr">
        <is>
          <t>FL</t>
        </is>
      </c>
      <c r="D68" s="28" t="n">
        <v>34224</v>
      </c>
      <c r="E68" s="29" t="inlineStr">
        <is>
          <t>Pontus Vault Portfolio, LLC</t>
        </is>
      </c>
      <c r="F68" s="6" t="inlineStr">
        <is>
          <t>VP2691</t>
        </is>
      </c>
      <c r="G68" s="29" t="n">
        <v>412008462002</v>
      </c>
      <c r="H68" s="6" t="n">
        <v>1</v>
      </c>
      <c r="I68" s="7" t="n">
        <v>46361</v>
      </c>
      <c r="J68" s="8" t="n">
        <v>46477</v>
      </c>
      <c r="N68" s="8" t="n"/>
      <c r="O68" s="5" t="inlineStr">
        <is>
          <t>Pontus</t>
        </is>
      </c>
      <c r="P68" s="5" t="inlineStr">
        <is>
          <t>Charlotte County</t>
        </is>
      </c>
      <c r="Q68" s="5" t="n">
        <v>9417431350</v>
      </c>
      <c r="R68" s="33" t="inlineStr">
        <is>
          <t>https://county-taxes.net/charlotte/property-tax/Y2hhcmxvdHRlOnJlYWxfZXN0YXRlOnBhcmVudHM6ZmRhZjExNTEtZTUwOS0xMWViLTk1NGItMDA1MDU2ODFjYmE3</t>
        </is>
      </c>
      <c r="S68" s="59" t="n">
        <v>1145000</v>
      </c>
      <c r="T68" s="59" t="n">
        <v>996000</v>
      </c>
      <c r="U68" s="59" t="n">
        <v>846000</v>
      </c>
      <c r="V68" s="61" t="inlineStr">
        <is>
          <t>https://county-taxes.net/charlotte/property-tax/Y2hhcmxvdHRlOnJlYWxfZXN0YXRlOnBhcmVudHM6ZmRhZjExNTEtZTUwOS0xMWViLTk1NGItMDA1MDU2ODFjYmE3</t>
        </is>
      </c>
      <c r="W68" s="61" t="n"/>
      <c r="X68" s="61" t="n"/>
      <c r="Y68" s="57" t="n">
        <v>13553</v>
      </c>
      <c r="Z68" s="58" t="inlineStr">
        <is>
          <t>2025-11-20</t>
        </is>
      </c>
      <c r="AA68" s="59" t="n">
        <v>1016000</v>
      </c>
      <c r="AB68" s="60" t="n"/>
    </row>
    <row r="69" ht="15" customHeight="1">
      <c r="A69" s="27" t="inlineStr">
        <is>
          <t>2123 US Hwy 19</t>
        </is>
      </c>
      <c r="B69" s="6" t="inlineStr">
        <is>
          <t>Holiday</t>
        </is>
      </c>
      <c r="C69" s="6" t="inlineStr">
        <is>
          <t>FL</t>
        </is>
      </c>
      <c r="D69" s="28" t="n">
        <v>34691</v>
      </c>
      <c r="E69" s="29" t="inlineStr">
        <is>
          <t>Pontus Vault Portfolio, LLC</t>
        </is>
      </c>
      <c r="F69" s="6" t="inlineStr">
        <is>
          <t>VP2123</t>
        </is>
      </c>
      <c r="G69" s="29" t="inlineStr">
        <is>
          <t>30-26-16-0010-06000-0030</t>
        </is>
      </c>
      <c r="H69" s="6" t="n">
        <v>1</v>
      </c>
      <c r="I69" s="7" t="n">
        <v>46356</v>
      </c>
      <c r="J69" s="8" t="n">
        <v>46477</v>
      </c>
      <c r="N69" s="8" t="n"/>
      <c r="O69" s="5" t="inlineStr">
        <is>
          <t>Pontus</t>
        </is>
      </c>
      <c r="P69" s="5" t="inlineStr">
        <is>
          <t>Pasco County</t>
        </is>
      </c>
      <c r="Q69" s="5" t="n">
        <v>3525214338</v>
      </c>
      <c r="R69" s="33" t="inlineStr">
        <is>
          <t>https://county-taxes.net/fl-pasco/property-tax/cGFzY286cmVhbF9lc3RhdGU6cGFyZW50czpiYTM1MjBmMS1lMzY4LTExZWItOGVkMi0wMDUwNTY4MWFmMWU=</t>
        </is>
      </c>
      <c r="S69" s="59" t="n">
        <v>1668000</v>
      </c>
      <c r="T69" s="59" t="n">
        <v>1451000</v>
      </c>
      <c r="U69" s="59" t="n">
        <v>1233000</v>
      </c>
      <c r="V69" s="61" t="inlineStr">
        <is>
          <t>https://county-taxes.net/fl-pasco/property-tax/cGFzY286cmVhbF9lc3RhdGU6cGFyZW50czpiYTM1MjBmMS1lMzY4LTExZWItOGVkMi0wMDUwNTY4MWFmMWU=</t>
        </is>
      </c>
      <c r="W69" s="61" t="n"/>
      <c r="X69" s="61" t="n"/>
      <c r="Y69" s="57" t="n">
        <v>13395</v>
      </c>
      <c r="Z69" s="58" t="inlineStr">
        <is>
          <t>2025-12-21</t>
        </is>
      </c>
      <c r="AA69" s="59" t="n">
        <v>1742000</v>
      </c>
      <c r="AB69" s="60" t="n"/>
    </row>
    <row r="70" ht="15" customHeight="1">
      <c r="A70" s="27" t="inlineStr">
        <is>
          <t>13175 Walsingham Rd</t>
        </is>
      </c>
      <c r="B70" s="6" t="inlineStr">
        <is>
          <t>Largo</t>
        </is>
      </c>
      <c r="C70" s="6" t="inlineStr">
        <is>
          <t>FL</t>
        </is>
      </c>
      <c r="D70" s="28" t="n">
        <v>33774</v>
      </c>
      <c r="E70" s="29" t="inlineStr">
        <is>
          <t>Pontus Vault Portfolio, LLC</t>
        </is>
      </c>
      <c r="F70" s="6" t="inlineStr">
        <is>
          <t>VP13175</t>
        </is>
      </c>
      <c r="G70" s="29" t="inlineStr">
        <is>
          <t>08-30-15-00000-340-0400</t>
        </is>
      </c>
      <c r="H70" s="6" t="n">
        <v>1</v>
      </c>
      <c r="I70" s="7" t="n">
        <v>46356</v>
      </c>
      <c r="J70" s="8" t="n">
        <v>46477</v>
      </c>
      <c r="N70" s="8" t="n"/>
      <c r="O70" s="5" t="inlineStr">
        <is>
          <t>Pontus</t>
        </is>
      </c>
      <c r="P70" s="5" t="inlineStr">
        <is>
          <t>Pinellas County</t>
        </is>
      </c>
      <c r="Q70" s="5" t="n">
        <v>7274647777</v>
      </c>
      <c r="R70" s="33" t="inlineStr">
        <is>
          <t>https://county-taxes.net/pinellas/property-tax/cGluZWxsYXM6cmVhbF9lc3RhdGU6cGFyZW50czpiYTYyMzFiZC1lMzY4LTExZWItOTRkMS0wMDUwNTY4MTUwMjg=</t>
        </is>
      </c>
      <c r="S70" s="59" t="n">
        <v>3313000</v>
      </c>
      <c r="T70" s="59" t="n">
        <v>2881000</v>
      </c>
      <c r="U70" s="59" t="n">
        <v>2448000</v>
      </c>
      <c r="V70" s="61" t="inlineStr">
        <is>
          <t>https://county-taxes.net/pinellas/property-tax/cGluZWxsYXM6cmVhbF9lc3RhdGU6cGFyZW50czpiYTYyMzFiZC1lMzY4LTExZWItOTRkMS0wMDUwNTY4MTUwMjg=</t>
        </is>
      </c>
      <c r="W70" s="61" t="n"/>
      <c r="X70" s="61" t="n"/>
      <c r="Y70" s="57" t="n">
        <v>18568</v>
      </c>
      <c r="Z70" s="58" t="inlineStr">
        <is>
          <t>2025-12-13</t>
        </is>
      </c>
      <c r="AA70" s="59" t="n">
        <v>3227000</v>
      </c>
      <c r="AB70" s="60" t="n"/>
    </row>
    <row r="71" ht="15" customHeight="1">
      <c r="A71" s="27" t="inlineStr">
        <is>
          <t>12396 W. Sunrise Blvd.</t>
        </is>
      </c>
      <c r="B71" s="6" t="inlineStr">
        <is>
          <t>Plantation</t>
        </is>
      </c>
      <c r="C71" s="6" t="inlineStr">
        <is>
          <t>FL</t>
        </is>
      </c>
      <c r="D71" s="28" t="n">
        <v>33323</v>
      </c>
      <c r="E71" s="29" t="inlineStr">
        <is>
          <t>Pontus Vault Portfolio, LLC</t>
        </is>
      </c>
      <c r="F71" s="6" t="inlineStr">
        <is>
          <t>VP12396</t>
        </is>
      </c>
      <c r="G71" s="29" t="inlineStr"/>
      <c r="H71" s="6" t="n">
        <v>1</v>
      </c>
      <c r="I71" s="7" t="n">
        <v>46356</v>
      </c>
      <c r="J71" s="8" t="n">
        <v>46477</v>
      </c>
      <c r="N71" s="8" t="n"/>
      <c r="O71" s="5" t="inlineStr">
        <is>
          <t>Pontus</t>
        </is>
      </c>
      <c r="P71" s="5" t="inlineStr">
        <is>
          <t>Broward County</t>
        </is>
      </c>
      <c r="Q71" s="5" t="n">
        <v>9548314000</v>
      </c>
      <c r="R71" s="33" t="inlineStr">
        <is>
          <t>https://county-taxes.net/broward/property-tax/YnJvd2FyZDpyZWFsX2VzdGF0ZTpwYXJlbnRzOjAxMDNkNzlhLWU1MGEtMTFlYi1iYTM4LTAwNTA1NjgxOTMzNA==</t>
        </is>
      </c>
      <c r="S71" s="59" t="n">
        <v>4625000</v>
      </c>
      <c r="T71" s="59" t="n">
        <v>4022000</v>
      </c>
      <c r="U71" s="59" t="n">
        <v>3418000</v>
      </c>
      <c r="V71" s="61" t="inlineStr">
        <is>
          <t>https://county-taxes.net/broward/property-tax/YnJvd2FyZDpyZWFsX2VzdGF0ZTpwYXJlbnRzOjAxMDNkNzlhLWU1MGEtMTFlYi1iYTM4LTAwNTA1NjgxOTMzNA==</t>
        </is>
      </c>
      <c r="W71" s="61" t="inlineStr">
        <is>
          <t>https://example.com/x/property-70</t>
        </is>
      </c>
      <c r="X71" s="61" t="n"/>
      <c r="Y71" s="57" t="n">
        <v>18017</v>
      </c>
      <c r="Z71" s="58" t="inlineStr">
        <is>
          <t>2025-12-25</t>
        </is>
      </c>
      <c r="AA71" s="59" t="n">
        <v>4344000</v>
      </c>
      <c r="AB71" s="60" t="n"/>
    </row>
    <row r="72" ht="15" customHeight="1">
      <c r="A72" s="27" t="inlineStr">
        <is>
          <t>4000 20th St</t>
        </is>
      </c>
      <c r="B72" s="6" t="inlineStr">
        <is>
          <t>Vero Beach</t>
        </is>
      </c>
      <c r="C72" s="6" t="inlineStr">
        <is>
          <t>FL</t>
        </is>
      </c>
      <c r="D72" s="28" t="n">
        <v>32960</v>
      </c>
      <c r="E72" s="29" t="inlineStr">
        <is>
          <t>Pontus Vault Portfolio, LLC</t>
        </is>
      </c>
      <c r="F72" s="6" t="inlineStr">
        <is>
          <t>VP4000</t>
        </is>
      </c>
      <c r="G72" s="29" t="inlineStr">
        <is>
          <t>33-39-03-00007-0020-00002/0</t>
        </is>
      </c>
      <c r="H72" s="6" t="n">
        <v>1</v>
      </c>
      <c r="J72" s="8" t="n">
        <v>46477</v>
      </c>
      <c r="N72" s="8" t="n"/>
      <c r="O72" s="5" t="inlineStr">
        <is>
          <t>Synovus</t>
        </is>
      </c>
      <c r="P72" s="5" t="inlineStr">
        <is>
          <t>Indian River County</t>
        </is>
      </c>
      <c r="Q72" s="5" t="n">
        <v>7722261343</v>
      </c>
      <c r="R72" s="33" t="inlineStr">
        <is>
          <t>https://county-taxes.net/indianriver/property-tax/aW5kaWFucml2ZXI6cmVhbF9lc3RhdGU6cGFyZW50czpmNDJjMWJhOC1lNTA5LTExZWItOTQ2Ny0wMDUwNTY4MTg3MTA=</t>
        </is>
      </c>
      <c r="S72" s="59" t="n">
        <v>5164000</v>
      </c>
      <c r="T72" s="59" t="n">
        <v>4491000</v>
      </c>
      <c r="U72" s="59" t="n">
        <v>3817000</v>
      </c>
      <c r="V72" s="61" t="inlineStr">
        <is>
          <t>https://county-taxes.net/indianriver/property-tax/aW5kaWFucml2ZXI6cmVhbF9lc3RhdGU6cGFyZW50czpmNDJjMWJhOC1lNTA5LTExZWItOTQ2Ny0wMDUwNTY4MTg3MTA=</t>
        </is>
      </c>
      <c r="W72" s="61" t="n"/>
      <c r="X72" s="61" t="n"/>
      <c r="Y72" s="57" t="n">
        <v>12262</v>
      </c>
      <c r="Z72" s="58" t="inlineStr">
        <is>
          <t>2025-12-24</t>
        </is>
      </c>
      <c r="AA72" s="59" t="n">
        <v>4581000</v>
      </c>
      <c r="AB72" s="60" t="n"/>
    </row>
    <row r="73" ht="15" customHeight="1">
      <c r="A73" s="27" t="inlineStr">
        <is>
          <t>1300 Palm Coast Pkwy SW</t>
        </is>
      </c>
      <c r="B73" s="6" t="inlineStr">
        <is>
          <t>Palm Coast</t>
        </is>
      </c>
      <c r="C73" s="6" t="inlineStr">
        <is>
          <t>FL</t>
        </is>
      </c>
      <c r="D73" s="28" t="n">
        <v>32137</v>
      </c>
      <c r="E73" s="29" t="inlineStr">
        <is>
          <t>Pontus Vault Portfolio, LLC</t>
        </is>
      </c>
      <c r="F73" s="6" t="inlineStr">
        <is>
          <t>VP1300</t>
        </is>
      </c>
      <c r="G73" s="29" t="inlineStr">
        <is>
          <t>0711317025000A00020</t>
        </is>
      </c>
      <c r="H73" s="6" t="n">
        <v>1</v>
      </c>
      <c r="I73" s="7" t="n">
        <v>46356</v>
      </c>
      <c r="J73" s="8" t="n">
        <v>46477</v>
      </c>
      <c r="N73" s="8" t="n"/>
      <c r="O73" s="5" t="inlineStr">
        <is>
          <t>TD Ameritrade</t>
        </is>
      </c>
      <c r="P73" s="5" t="inlineStr">
        <is>
          <t>Flagler County</t>
        </is>
      </c>
      <c r="Q73" s="5" t="n">
        <v>3863134008</v>
      </c>
      <c r="R73" s="33" t="inlineStr">
        <is>
          <t>https://county-taxes.net/fl-flagler/property-tax/ZmxhZ2xlcjpyZWFsX2VzdGF0ZTpwYXJlbnRzOmY0MDMyY2JlLWU1MDktMTFlYi05NDY3LTAwNTA1NjgxODcxMA==</t>
        </is>
      </c>
      <c r="S73" s="59" t="n">
        <v>4690000</v>
      </c>
      <c r="T73" s="59" t="n">
        <v>4079000</v>
      </c>
      <c r="U73" s="59" t="n">
        <v>3467000</v>
      </c>
      <c r="V73" s="61" t="inlineStr">
        <is>
          <t>https://county-taxes.net/fl-flagler/property-tax/ZmxhZ2xlcjpyZWFsX2VzdGF0ZTpwYXJlbnRzOmY0MDMyY2JlLWU1MDktMTFlYi05NDY3LTAwNTA1NjgxODcxMA==</t>
        </is>
      </c>
      <c r="W73" s="61" t="n"/>
      <c r="X73" s="61" t="n"/>
      <c r="Y73" s="57" t="n">
        <v>24420</v>
      </c>
      <c r="Z73" s="58" t="inlineStr">
        <is>
          <t>2025-12-12</t>
        </is>
      </c>
      <c r="AA73" s="59" t="n">
        <v>4895000</v>
      </c>
      <c r="AB73" s="60" t="n"/>
    </row>
    <row r="74" ht="15" customHeight="1">
      <c r="A74" s="27" t="inlineStr">
        <is>
          <t>10050 Stirling Rd.</t>
        </is>
      </c>
      <c r="B74" s="6" t="inlineStr">
        <is>
          <t>Cooper City</t>
        </is>
      </c>
      <c r="C74" s="6" t="inlineStr">
        <is>
          <t>FL</t>
        </is>
      </c>
      <c r="D74" s="28" t="n">
        <v>33024</v>
      </c>
      <c r="E74" s="29" t="inlineStr">
        <is>
          <t>Pontus TP Portfolio, LLC</t>
        </is>
      </c>
      <c r="F74" s="6" t="inlineStr">
        <is>
          <t>TP10050</t>
        </is>
      </c>
      <c r="G74" s="29" t="inlineStr">
        <is>
          <t>514105-08-0011</t>
        </is>
      </c>
      <c r="H74" s="6" t="n">
        <v>1</v>
      </c>
      <c r="J74" s="8" t="n">
        <v>46477</v>
      </c>
      <c r="O74" s="5" t="inlineStr">
        <is>
          <t>Pinnacle</t>
        </is>
      </c>
      <c r="P74" s="5" t="inlineStr">
        <is>
          <t>Broward County</t>
        </is>
      </c>
      <c r="Q74" s="5" t="inlineStr">
        <is>
          <t>(954) 831-4000</t>
        </is>
      </c>
      <c r="R74" s="33" t="inlineStr">
        <is>
          <t>https://broward.county-taxes.com/public/search/property_tax?action_location=Landing+Page</t>
        </is>
      </c>
      <c r="S74" s="59" t="n">
        <v>3619000</v>
      </c>
      <c r="T74" s="59" t="n">
        <v>3147000</v>
      </c>
      <c r="U74" s="59" t="n">
        <v>2674000</v>
      </c>
      <c r="V74" s="61" t="inlineStr">
        <is>
          <t>https://broward.county-taxes.com/public/search/property_tax?action_location=Landing+Page</t>
        </is>
      </c>
      <c r="W74" s="61" t="n"/>
      <c r="X74" s="61" t="n"/>
      <c r="Y74" s="57" t="n">
        <v>3874</v>
      </c>
      <c r="Z74" s="58" t="inlineStr">
        <is>
          <t>2025-12-10</t>
        </is>
      </c>
      <c r="AA74" s="59" t="n">
        <v>3525000</v>
      </c>
      <c r="AB74" s="60" t="n"/>
    </row>
    <row r="75" ht="15" customHeight="1">
      <c r="A75" s="27" t="inlineStr">
        <is>
          <t>21100 S. Dixie Hwy</t>
        </is>
      </c>
      <c r="B75" s="6" t="inlineStr">
        <is>
          <t>Miami</t>
        </is>
      </c>
      <c r="C75" s="6" t="inlineStr">
        <is>
          <t>FL</t>
        </is>
      </c>
      <c r="D75" s="28" t="n">
        <v>33177</v>
      </c>
      <c r="E75" s="29" t="inlineStr">
        <is>
          <t>Pontus TP Portfolio, LLC</t>
        </is>
      </c>
      <c r="F75" s="6" t="inlineStr">
        <is>
          <t>TP21100</t>
        </is>
      </c>
      <c r="G75" s="29" t="inlineStr">
        <is>
          <t>30-6007-000-0340</t>
        </is>
      </c>
      <c r="H75" s="6" t="n">
        <v>1</v>
      </c>
      <c r="J75" s="8" t="n">
        <v>46477</v>
      </c>
      <c r="O75" s="5" t="inlineStr">
        <is>
          <t>Pinnacle</t>
        </is>
      </c>
      <c r="P75" s="5" t="inlineStr">
        <is>
          <t>Miami-Dade County</t>
        </is>
      </c>
      <c r="Q75" s="5" t="inlineStr">
        <is>
          <t>(305) 270-4916</t>
        </is>
      </c>
      <c r="R75" s="33" t="inlineStr">
        <is>
          <t>https://miamidade.county-taxes.com/public</t>
        </is>
      </c>
      <c r="S75" s="59" t="n">
        <v>1447000</v>
      </c>
      <c r="T75" s="59" t="n">
        <v>1259000</v>
      </c>
      <c r="U75" s="59" t="n">
        <v>1070000</v>
      </c>
      <c r="V75" s="61" t="inlineStr">
        <is>
          <t>https://miamidade.county-taxes.com/public</t>
        </is>
      </c>
      <c r="W75" s="61" t="n"/>
      <c r="X75" s="61" t="n"/>
      <c r="Y75" s="57" t="n">
        <v>16392</v>
      </c>
      <c r="Z75" s="58" t="inlineStr">
        <is>
          <t>2025-12-17</t>
        </is>
      </c>
      <c r="AA75" s="59" t="n">
        <v>1360000</v>
      </c>
      <c r="AB75" s="60" t="n"/>
    </row>
    <row r="76" ht="15" customHeight="1">
      <c r="A76" s="27" t="inlineStr">
        <is>
          <t>9980 SW 8th St</t>
        </is>
      </c>
      <c r="B76" s="6" t="inlineStr">
        <is>
          <t>Miami</t>
        </is>
      </c>
      <c r="C76" s="6" t="inlineStr">
        <is>
          <t>FL</t>
        </is>
      </c>
      <c r="D76" s="28" t="n">
        <v>33174</v>
      </c>
      <c r="E76" s="29" t="inlineStr">
        <is>
          <t>Pontus TP Portfolio, LLC</t>
        </is>
      </c>
      <c r="F76" s="6" t="inlineStr">
        <is>
          <t>TP9980</t>
        </is>
      </c>
      <c r="G76" s="29" t="inlineStr">
        <is>
          <t>30-4008-000-0015</t>
        </is>
      </c>
      <c r="H76" s="6" t="n">
        <v>1</v>
      </c>
      <c r="J76" s="8" t="n">
        <v>46477</v>
      </c>
      <c r="O76" s="5" t="inlineStr">
        <is>
          <t>Pinnacle</t>
        </is>
      </c>
      <c r="P76" s="5" t="inlineStr">
        <is>
          <t>Miami-Dade County</t>
        </is>
      </c>
      <c r="Q76" s="5" t="inlineStr">
        <is>
          <t>(305) 270-4916</t>
        </is>
      </c>
      <c r="R76" s="6" t="inlineStr">
        <is>
          <t>https://miamidade.county-taxes.com/public</t>
        </is>
      </c>
      <c r="S76" s="59" t="n">
        <v>3186000</v>
      </c>
      <c r="T76" s="59" t="n">
        <v>2771000</v>
      </c>
      <c r="U76" s="59" t="n">
        <v>2355000</v>
      </c>
      <c r="V76" s="61" t="inlineStr">
        <is>
          <t>https://miamidade.county-taxes.com/public</t>
        </is>
      </c>
      <c r="W76" s="61" t="n"/>
      <c r="X76" s="61" t="n"/>
      <c r="Y76" s="57" t="n">
        <v>15327</v>
      </c>
      <c r="Z76" s="58" t="inlineStr">
        <is>
          <t>2025-11-18</t>
        </is>
      </c>
      <c r="AA76" s="59" t="n">
        <v>2827000</v>
      </c>
      <c r="AB76" s="60" t="n"/>
    </row>
    <row r="77" ht="15" customHeight="1">
      <c r="A77" s="27" t="inlineStr">
        <is>
          <t>3695 NW 167 St</t>
        </is>
      </c>
      <c r="B77" s="6" t="inlineStr">
        <is>
          <t>Miami Gardens</t>
        </is>
      </c>
      <c r="C77" s="6" t="inlineStr">
        <is>
          <t>FL</t>
        </is>
      </c>
      <c r="D77" s="28" t="n">
        <v>33056</v>
      </c>
      <c r="E77" s="29" t="inlineStr">
        <is>
          <t>Pontus TP Portfolio, LLC</t>
        </is>
      </c>
      <c r="F77" s="6" t="inlineStr">
        <is>
          <t>TP3695</t>
        </is>
      </c>
      <c r="G77" s="29" t="inlineStr">
        <is>
          <t>34-2109-001-0410</t>
        </is>
      </c>
      <c r="H77" s="6" t="n">
        <v>1</v>
      </c>
      <c r="J77" s="8" t="n">
        <v>46477</v>
      </c>
      <c r="O77" s="5" t="inlineStr">
        <is>
          <t>Pinnacle</t>
        </is>
      </c>
      <c r="P77" s="5" t="inlineStr">
        <is>
          <t>Miami-Dade County</t>
        </is>
      </c>
      <c r="Q77" s="5" t="inlineStr">
        <is>
          <t>(305) 270-4916</t>
        </is>
      </c>
      <c r="R77" s="6" t="inlineStr">
        <is>
          <t>https://miamidade.county-taxes.com/public</t>
        </is>
      </c>
      <c r="S77" s="59" t="n">
        <v>1854000</v>
      </c>
      <c r="T77" s="59" t="n">
        <v>1613000</v>
      </c>
      <c r="U77" s="59" t="n">
        <v>1371000</v>
      </c>
      <c r="V77" s="61" t="inlineStr">
        <is>
          <t>https://miamidade.county-taxes.com/public</t>
        </is>
      </c>
      <c r="W77" s="61" t="n"/>
      <c r="X77" s="61" t="n"/>
      <c r="Y77" s="57" t="n">
        <v>18862</v>
      </c>
      <c r="Z77" s="58" t="inlineStr">
        <is>
          <t>2025-11-28</t>
        </is>
      </c>
      <c r="AA77" s="59" t="n">
        <v>1936000</v>
      </c>
      <c r="AB77" s="60" t="n"/>
    </row>
    <row r="78" ht="15" customHeight="1">
      <c r="A78" s="27" t="inlineStr">
        <is>
          <t>3701 NW 167 Street</t>
        </is>
      </c>
      <c r="B78" s="6" t="inlineStr">
        <is>
          <t>Miami Gardens</t>
        </is>
      </c>
      <c r="C78" s="6" t="inlineStr">
        <is>
          <t>FL</t>
        </is>
      </c>
      <c r="D78" s="28" t="n">
        <v>33055</v>
      </c>
      <c r="E78" s="29" t="inlineStr">
        <is>
          <t>Pontus TP Portfolio, LLC</t>
        </is>
      </c>
      <c r="F78" s="6" t="inlineStr">
        <is>
          <t>TP3701</t>
        </is>
      </c>
      <c r="G78" s="29" t="inlineStr">
        <is>
          <t>34-2108-004-0151</t>
        </is>
      </c>
      <c r="H78" s="6" t="n">
        <v>1</v>
      </c>
      <c r="J78" s="8" t="n">
        <v>46477</v>
      </c>
      <c r="O78" s="5" t="inlineStr">
        <is>
          <t>Pinnacle</t>
        </is>
      </c>
      <c r="P78" s="5" t="inlineStr">
        <is>
          <t>Miami-Dade County</t>
        </is>
      </c>
      <c r="Q78" s="5" t="inlineStr">
        <is>
          <t>(305) 270-4916</t>
        </is>
      </c>
      <c r="R78" s="33" t="inlineStr">
        <is>
          <t>https://miamidade.county-taxes.com/public</t>
        </is>
      </c>
      <c r="S78" s="59" t="n">
        <v>316000</v>
      </c>
      <c r="T78" s="59" t="n">
        <v>275000</v>
      </c>
      <c r="U78" s="59" t="n">
        <v>233000</v>
      </c>
      <c r="V78" s="61" t="inlineStr">
        <is>
          <t>https://miamidade.county-taxes.com/public</t>
        </is>
      </c>
      <c r="W78" s="61" t="inlineStr">
        <is>
          <t>https://example.com/x/property-77</t>
        </is>
      </c>
      <c r="X78" s="61" t="inlineStr">
        <is>
          <t>https://example.com/y/property-77</t>
        </is>
      </c>
      <c r="Y78" s="57" t="n">
        <v>5173</v>
      </c>
      <c r="Z78" s="58" t="inlineStr">
        <is>
          <t>2025-11-18</t>
        </is>
      </c>
      <c r="AA78" s="59" t="n">
        <v>308000</v>
      </c>
      <c r="AB78" s="60" t="n"/>
    </row>
    <row r="79" ht="15" customHeight="1">
      <c r="A79" s="27" t="inlineStr">
        <is>
          <t>252 Route 130</t>
        </is>
      </c>
      <c r="B79" s="6" t="inlineStr">
        <is>
          <t>Bordentown</t>
        </is>
      </c>
      <c r="C79" s="6" t="inlineStr">
        <is>
          <t>NJ</t>
        </is>
      </c>
      <c r="D79" s="28" t="n">
        <v>8505</v>
      </c>
      <c r="E79" s="29" t="inlineStr">
        <is>
          <t>PC Shell, LLC</t>
        </is>
      </c>
      <c r="F79" s="6" t="inlineStr">
        <is>
          <t>SH252</t>
        </is>
      </c>
      <c r="G79" s="29" t="n"/>
      <c r="J79" s="8" t="inlineStr">
        <is>
          <t>n/a</t>
        </is>
      </c>
      <c r="N79" s="8" t="n"/>
      <c r="O79" s="5" t="inlineStr">
        <is>
          <t>Pontus</t>
        </is>
      </c>
      <c r="S79" s="59" t="n">
        <v>4194000</v>
      </c>
      <c r="T79" s="59" t="n">
        <v>3647000</v>
      </c>
      <c r="U79" s="59" t="n">
        <v>3099000</v>
      </c>
      <c r="V79" s="61" t="inlineStr">
        <is>
          <t>https://example.com/w/property-78</t>
        </is>
      </c>
      <c r="W79" s="61" t="n"/>
      <c r="X79" s="61" t="n"/>
      <c r="Y79" s="62" t="n"/>
      <c r="Z79" s="62" t="n"/>
      <c r="AA79" s="59" t="n">
        <v>3939000</v>
      </c>
      <c r="AB79" s="60" t="n"/>
    </row>
    <row r="80" ht="15" customHeight="1">
      <c r="A80" s="27" t="inlineStr">
        <is>
          <t>4012 Atlantic Brigantine Blvd</t>
        </is>
      </c>
      <c r="B80" s="6" t="inlineStr">
        <is>
          <t>Brigantine</t>
        </is>
      </c>
      <c r="C80" s="6" t="inlineStr">
        <is>
          <t>NJ</t>
        </is>
      </c>
      <c r="D80" s="28" t="n">
        <v>8203</v>
      </c>
      <c r="E80" s="29" t="inlineStr">
        <is>
          <t>PC Shell, LLC</t>
        </is>
      </c>
      <c r="F80" s="6" t="inlineStr">
        <is>
          <t>SH4012</t>
        </is>
      </c>
      <c r="G80" s="29" t="n"/>
      <c r="J80" s="8" t="inlineStr">
        <is>
          <t>n/a</t>
        </is>
      </c>
      <c r="N80" s="8" t="n"/>
      <c r="O80" s="5" t="inlineStr">
        <is>
          <t>Pontus</t>
        </is>
      </c>
      <c r="S80" s="59" t="n">
        <v>3622000</v>
      </c>
      <c r="T80" s="59" t="n">
        <v>3150000</v>
      </c>
      <c r="U80" s="59" t="n">
        <v>2677000</v>
      </c>
      <c r="V80" s="61" t="inlineStr">
        <is>
          <t>https://example.com/w/property-79</t>
        </is>
      </c>
      <c r="W80" s="61" t="n"/>
      <c r="X80" s="61" t="n"/>
      <c r="Y80" s="57" t="n">
        <v>20309</v>
      </c>
      <c r="Z80" s="58" t="inlineStr">
        <is>
          <t>2025-11-10</t>
        </is>
      </c>
      <c r="AA80" s="59" t="n">
        <v>3214000</v>
      </c>
      <c r="AB80" s="60" t="n"/>
    </row>
    <row r="81" ht="15" customHeight="1">
      <c r="A81" s="27" t="inlineStr">
        <is>
          <t>2361 Admiral Wilson Blvd.</t>
        </is>
      </c>
      <c r="B81" s="6" t="inlineStr">
        <is>
          <t>Camden</t>
        </is>
      </c>
      <c r="C81" s="6" t="inlineStr">
        <is>
          <t>NJ</t>
        </is>
      </c>
      <c r="D81" s="28" t="n">
        <v>8109</v>
      </c>
      <c r="E81" s="29" t="inlineStr">
        <is>
          <t>PC Shell, LLC</t>
        </is>
      </c>
      <c r="F81" s="6" t="inlineStr">
        <is>
          <t>SH2361</t>
        </is>
      </c>
      <c r="G81" s="29" t="n"/>
      <c r="J81" s="8" t="inlineStr">
        <is>
          <t>n/a</t>
        </is>
      </c>
      <c r="N81" s="8" t="n"/>
      <c r="O81" s="5" t="inlineStr">
        <is>
          <t>Pontus</t>
        </is>
      </c>
      <c r="S81" s="59" t="n">
        <v>3156000</v>
      </c>
      <c r="T81" s="59" t="n">
        <v>2745000</v>
      </c>
      <c r="U81" s="59" t="n">
        <v>2333000</v>
      </c>
      <c r="V81" s="61" t="inlineStr">
        <is>
          <t>https://example.com/w/property-80</t>
        </is>
      </c>
      <c r="W81" s="61" t="n"/>
      <c r="X81" s="61" t="n"/>
      <c r="Y81" s="57" t="n">
        <v>19306</v>
      </c>
      <c r="Z81" s="58" t="inlineStr">
        <is>
          <t>2025-12-15</t>
        </is>
      </c>
      <c r="AA81" s="59" t="n">
        <v>3295000</v>
      </c>
      <c r="AB81" s="60" t="n"/>
    </row>
    <row r="82" ht="15" customHeight="1">
      <c r="A82" s="27" t="inlineStr">
        <is>
          <t>2401 New Road</t>
        </is>
      </c>
      <c r="B82" s="6" t="inlineStr">
        <is>
          <t>Northfield</t>
        </is>
      </c>
      <c r="C82" s="6" t="inlineStr">
        <is>
          <t>NJ</t>
        </is>
      </c>
      <c r="D82" s="28" t="n">
        <v>8225</v>
      </c>
      <c r="E82" s="29" t="inlineStr">
        <is>
          <t>PC Shell, LLC</t>
        </is>
      </c>
      <c r="F82" s="6" t="inlineStr">
        <is>
          <t>SH2401</t>
        </is>
      </c>
      <c r="G82" s="29" t="n"/>
      <c r="J82" s="8" t="inlineStr">
        <is>
          <t>n/a</t>
        </is>
      </c>
      <c r="N82" s="8" t="n"/>
      <c r="O82" s="5" t="inlineStr">
        <is>
          <t>Pontus</t>
        </is>
      </c>
      <c r="S82" s="59" t="n">
        <v>3122000</v>
      </c>
      <c r="T82" s="59" t="n">
        <v>2715000</v>
      </c>
      <c r="U82" s="59" t="n">
        <v>2307000</v>
      </c>
      <c r="V82" s="61" t="inlineStr">
        <is>
          <t>https://example.com/w/property-81</t>
        </is>
      </c>
      <c r="W82" s="61" t="n"/>
      <c r="X82" s="61" t="n"/>
      <c r="Y82" s="57" t="n">
        <v>15464</v>
      </c>
      <c r="Z82" s="58" t="inlineStr">
        <is>
          <t>2025-11-19</t>
        </is>
      </c>
      <c r="AA82" s="59" t="n">
        <v>3041000</v>
      </c>
      <c r="AB82" s="60" t="n"/>
    </row>
    <row r="83" ht="15" customHeight="1">
      <c r="A83" s="27" t="inlineStr">
        <is>
          <t>1100 Berlin Road (Route 561)</t>
        </is>
      </c>
      <c r="B83" s="6" t="inlineStr">
        <is>
          <t>Voorhees</t>
        </is>
      </c>
      <c r="C83" s="6" t="inlineStr">
        <is>
          <t>NJ</t>
        </is>
      </c>
      <c r="D83" s="28" t="n">
        <v>8043</v>
      </c>
      <c r="E83" s="29" t="inlineStr">
        <is>
          <t>PC Shell, LLC</t>
        </is>
      </c>
      <c r="F83" s="6" t="inlineStr">
        <is>
          <t>SH1100</t>
        </is>
      </c>
      <c r="G83" s="29" t="n"/>
      <c r="J83" s="8" t="inlineStr">
        <is>
          <t>n/a</t>
        </is>
      </c>
      <c r="N83" s="8" t="n"/>
      <c r="O83" s="5" t="inlineStr">
        <is>
          <t>Pontus</t>
        </is>
      </c>
      <c r="S83" s="59" t="n">
        <v>3039000</v>
      </c>
      <c r="T83" s="59" t="n">
        <v>2643000</v>
      </c>
      <c r="U83" s="59" t="n">
        <v>2246000</v>
      </c>
      <c r="V83" s="61" t="inlineStr">
        <is>
          <t>https://example.com/w/property-82</t>
        </is>
      </c>
      <c r="W83" s="61" t="n"/>
      <c r="X83" s="61" t="n"/>
      <c r="Y83" s="57" t="n">
        <v>21607</v>
      </c>
      <c r="Z83" s="58" t="inlineStr">
        <is>
          <t>2025-12-22</t>
        </is>
      </c>
      <c r="AA83" s="59" t="n">
        <v>2855000</v>
      </c>
      <c r="AB83" s="60" t="n"/>
    </row>
    <row r="84" ht="15" customHeight="1">
      <c r="A84" s="38" t="inlineStr">
        <is>
          <t>1058 Delsea Drive (Route 47)</t>
        </is>
      </c>
      <c r="B84" s="39" t="inlineStr">
        <is>
          <t>Westville</t>
        </is>
      </c>
      <c r="C84" s="39" t="inlineStr">
        <is>
          <t>NJ</t>
        </is>
      </c>
      <c r="D84" s="40" t="n">
        <v>8903</v>
      </c>
      <c r="E84" s="41" t="inlineStr">
        <is>
          <t>PC Shell, LLC</t>
        </is>
      </c>
      <c r="F84" s="39" t="inlineStr">
        <is>
          <t>SH1058</t>
        </is>
      </c>
      <c r="G84" s="41" t="n"/>
      <c r="H84" s="39" t="n"/>
      <c r="I84" s="42" t="n"/>
      <c r="J84" s="43" t="inlineStr">
        <is>
          <t>n/a</t>
        </is>
      </c>
      <c r="K84" s="43" t="n"/>
      <c r="L84" s="43" t="n"/>
      <c r="M84" s="44" t="n"/>
      <c r="N84" s="43" t="n"/>
      <c r="O84" s="48" t="inlineStr">
        <is>
          <t>Pontus</t>
        </is>
      </c>
      <c r="P84" s="48" t="n"/>
      <c r="Q84" s="48" t="n"/>
      <c r="R84" s="39" t="n"/>
      <c r="S84" s="59" t="n">
        <v>1612000</v>
      </c>
      <c r="T84" s="59" t="n">
        <v>1402000</v>
      </c>
      <c r="U84" s="59" t="n">
        <v>1191000</v>
      </c>
      <c r="V84" s="61" t="inlineStr">
        <is>
          <t>https://example.com/w/property-83</t>
        </is>
      </c>
      <c r="W84" s="61" t="n"/>
      <c r="Y84" s="57" t="n">
        <v>14622</v>
      </c>
      <c r="Z84" s="58" t="inlineStr">
        <is>
          <t>2025-12-22</t>
        </is>
      </c>
      <c r="AA84" s="59" t="n">
        <v>1431000</v>
      </c>
      <c r="AB84" s="60" t="n"/>
    </row>
    <row r="85"/>
    <row r="86" ht="15" customHeight="1"/>
    <row r="87" ht="15" customHeight="1"/>
    <row r="88" ht="15" customHeight="1"/>
    <row r="89"/>
    <row r="90" ht="15" customHeight="1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</sheetData>
  <autoFilter ref="A4:R84"/>
  <mergeCells count="3">
    <mergeCell ref="A3:D3"/>
    <mergeCell ref="I3:M3"/>
    <mergeCell ref="E3:F3"/>
  </mergeCells>
  <conditionalFormatting sqref="A5:R84 Y5:AB84">
    <cfRule type="expression" priority="2" dxfId="1">
      <formula>MOD(ROW(),2)=1</formula>
    </cfRule>
  </conditionalFormatting>
  <conditionalFormatting sqref="A5:XFD84 A1001:XFD1048576">
    <cfRule type="expression" priority="3" dxfId="0">
      <formula>MOD(ROW(),2)=1</formula>
    </cfRule>
  </conditionalFormatting>
  <hyperlinks>
    <hyperlink xmlns:r="http://schemas.openxmlformats.org/officeDocument/2006/relationships" ref="R5" r:id="rId1"/>
    <hyperlink xmlns:r="http://schemas.openxmlformats.org/officeDocument/2006/relationships" ref="R6" r:id="rId2"/>
    <hyperlink xmlns:r="http://schemas.openxmlformats.org/officeDocument/2006/relationships" ref="R7" r:id="rId3"/>
    <hyperlink xmlns:r="http://schemas.openxmlformats.org/officeDocument/2006/relationships" ref="R8" r:id="rId4"/>
    <hyperlink xmlns:r="http://schemas.openxmlformats.org/officeDocument/2006/relationships" ref="R9" r:id="rId5"/>
    <hyperlink xmlns:r="http://schemas.openxmlformats.org/officeDocument/2006/relationships" ref="R10" r:id="rId6"/>
    <hyperlink xmlns:r="http://schemas.openxmlformats.org/officeDocument/2006/relationships" ref="R11" r:id="rId7"/>
    <hyperlink xmlns:r="http://schemas.openxmlformats.org/officeDocument/2006/relationships" ref="R12" r:id="rId8"/>
    <hyperlink xmlns:r="http://schemas.openxmlformats.org/officeDocument/2006/relationships" ref="R13" r:id="rId9"/>
    <hyperlink xmlns:r="http://schemas.openxmlformats.org/officeDocument/2006/relationships" ref="R14" r:id="rId10"/>
    <hyperlink xmlns:r="http://schemas.openxmlformats.org/officeDocument/2006/relationships" ref="R15" r:id="rId11"/>
    <hyperlink xmlns:r="http://schemas.openxmlformats.org/officeDocument/2006/relationships" ref="R16" r:id="rId12"/>
    <hyperlink xmlns:r="http://schemas.openxmlformats.org/officeDocument/2006/relationships" ref="R17" r:id="rId13"/>
    <hyperlink xmlns:r="http://schemas.openxmlformats.org/officeDocument/2006/relationships" ref="R18" r:id="rId14"/>
    <hyperlink xmlns:r="http://schemas.openxmlformats.org/officeDocument/2006/relationships" ref="R19" r:id="rId15"/>
    <hyperlink xmlns:r="http://schemas.openxmlformats.org/officeDocument/2006/relationships" ref="R20" r:id="rId16"/>
    <hyperlink xmlns:r="http://schemas.openxmlformats.org/officeDocument/2006/relationships" ref="R21" r:id="rId17"/>
    <hyperlink xmlns:r="http://schemas.openxmlformats.org/officeDocument/2006/relationships" ref="R22" r:id="rId18"/>
    <hyperlink xmlns:r="http://schemas.openxmlformats.org/officeDocument/2006/relationships" ref="R24" r:id="rId19"/>
    <hyperlink xmlns:r="http://schemas.openxmlformats.org/officeDocument/2006/relationships" ref="R25" r:id="rId20"/>
    <hyperlink xmlns:r="http://schemas.openxmlformats.org/officeDocument/2006/relationships" ref="R26" r:id="rId21"/>
    <hyperlink xmlns:r="http://schemas.openxmlformats.org/officeDocument/2006/relationships" ref="R27" location="taxPage4546" r:id="rId22"/>
    <hyperlink xmlns:r="http://schemas.openxmlformats.org/officeDocument/2006/relationships" ref="R28" r:id="rId23"/>
    <hyperlink xmlns:r="http://schemas.openxmlformats.org/officeDocument/2006/relationships" ref="R29" r:id="rId24"/>
    <hyperlink xmlns:r="http://schemas.openxmlformats.org/officeDocument/2006/relationships" ref="R30" r:id="rId25"/>
    <hyperlink xmlns:r="http://schemas.openxmlformats.org/officeDocument/2006/relationships" ref="R31" r:id="rId26"/>
    <hyperlink xmlns:r="http://schemas.openxmlformats.org/officeDocument/2006/relationships" ref="R32" r:id="rId27"/>
    <hyperlink xmlns:r="http://schemas.openxmlformats.org/officeDocument/2006/relationships" ref="R33" r:id="rId28"/>
    <hyperlink xmlns:r="http://schemas.openxmlformats.org/officeDocument/2006/relationships" ref="R34" r:id="rId29"/>
    <hyperlink xmlns:r="http://schemas.openxmlformats.org/officeDocument/2006/relationships" ref="R35" r:id="rId30"/>
    <hyperlink xmlns:r="http://schemas.openxmlformats.org/officeDocument/2006/relationships" ref="R36" r:id="rId31"/>
    <hyperlink xmlns:r="http://schemas.openxmlformats.org/officeDocument/2006/relationships" ref="R37" r:id="rId32"/>
    <hyperlink xmlns:r="http://schemas.openxmlformats.org/officeDocument/2006/relationships" ref="R38" r:id="rId33"/>
    <hyperlink xmlns:r="http://schemas.openxmlformats.org/officeDocument/2006/relationships" ref="R39" r:id="rId34"/>
    <hyperlink xmlns:r="http://schemas.openxmlformats.org/officeDocument/2006/relationships" ref="R40" r:id="rId35"/>
    <hyperlink xmlns:r="http://schemas.openxmlformats.org/officeDocument/2006/relationships" ref="R41" r:id="rId36"/>
    <hyperlink xmlns:r="http://schemas.openxmlformats.org/officeDocument/2006/relationships" ref="R42" r:id="rId37"/>
    <hyperlink xmlns:r="http://schemas.openxmlformats.org/officeDocument/2006/relationships" ref="R43" r:id="rId38"/>
    <hyperlink xmlns:r="http://schemas.openxmlformats.org/officeDocument/2006/relationships" ref="R44" r:id="rId39"/>
    <hyperlink xmlns:r="http://schemas.openxmlformats.org/officeDocument/2006/relationships" ref="R45" r:id="rId40"/>
    <hyperlink xmlns:r="http://schemas.openxmlformats.org/officeDocument/2006/relationships" ref="R46" r:id="rId41"/>
    <hyperlink xmlns:r="http://schemas.openxmlformats.org/officeDocument/2006/relationships" ref="R47" r:id="rId42"/>
    <hyperlink xmlns:r="http://schemas.openxmlformats.org/officeDocument/2006/relationships" ref="R48" r:id="rId43"/>
    <hyperlink xmlns:r="http://schemas.openxmlformats.org/officeDocument/2006/relationships" ref="R49" r:id="rId44"/>
    <hyperlink xmlns:r="http://schemas.openxmlformats.org/officeDocument/2006/relationships" ref="R50" r:id="rId45"/>
    <hyperlink xmlns:r="http://schemas.openxmlformats.org/officeDocument/2006/relationships" ref="R51" r:id="rId46"/>
    <hyperlink xmlns:r="http://schemas.openxmlformats.org/officeDocument/2006/relationships" ref="R52" r:id="rId47"/>
    <hyperlink xmlns:r="http://schemas.openxmlformats.org/officeDocument/2006/relationships" ref="R53" r:id="rId48"/>
    <hyperlink xmlns:r="http://schemas.openxmlformats.org/officeDocument/2006/relationships" ref="R54" location="/Search" r:id="rId49"/>
    <hyperlink xmlns:r="http://schemas.openxmlformats.org/officeDocument/2006/relationships" ref="R59" r:id="rId50"/>
    <hyperlink xmlns:r="http://schemas.openxmlformats.org/officeDocument/2006/relationships" ref="R63" r:id="rId51"/>
    <hyperlink xmlns:r="http://schemas.openxmlformats.org/officeDocument/2006/relationships" ref="R67" r:id="rId52"/>
    <hyperlink xmlns:r="http://schemas.openxmlformats.org/officeDocument/2006/relationships" ref="R68" r:id="rId53"/>
    <hyperlink xmlns:r="http://schemas.openxmlformats.org/officeDocument/2006/relationships" ref="R69" r:id="rId54"/>
    <hyperlink xmlns:r="http://schemas.openxmlformats.org/officeDocument/2006/relationships" ref="R70" r:id="rId55"/>
    <hyperlink xmlns:r="http://schemas.openxmlformats.org/officeDocument/2006/relationships" ref="R71" r:id="rId56"/>
    <hyperlink xmlns:r="http://schemas.openxmlformats.org/officeDocument/2006/relationships" ref="R72" r:id="rId57"/>
    <hyperlink xmlns:r="http://schemas.openxmlformats.org/officeDocument/2006/relationships" ref="R73" r:id="rId58"/>
    <hyperlink xmlns:r="http://schemas.openxmlformats.org/officeDocument/2006/relationships" ref="R74" r:id="rId59"/>
    <hyperlink xmlns:r="http://schemas.openxmlformats.org/officeDocument/2006/relationships" ref="R75" r:id="rId60"/>
    <hyperlink xmlns:r="http://schemas.openxmlformats.org/officeDocument/2006/relationships" ref="R78" r:id="rId61"/>
  </hyperlinks>
  <pageMargins left="0.7" right="0.7" top="0.75" bottom="0.75" header="0.511811023622047" footer="0.511811023622047"/>
  <pageSetup orientation="landscape" horizontalDpi="300" verticalDpi="30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Nick Pribuss</dc:creator>
  <dcterms:created xmlns:dcterms="http://purl.org/dc/terms/" xmlns:xsi="http://www.w3.org/2001/XMLSchema-instance" xsi:type="dcterms:W3CDTF">2026-06-18T16:38:17Z</dcterms:created>
  <dcterms:modified xmlns:dcterms="http://purl.org/dc/terms/" xmlns:xsi="http://www.w3.org/2001/XMLSchema-instance" xsi:type="dcterms:W3CDTF">2026-06-25T18:26:51Z</dcterms:modified>
  <cp:lastModifiedBy>Nick Pribuss</cp:lastModifiedBy>
  <cp:revision>0</cp:revision>
</cp:coreProperties>
</file>