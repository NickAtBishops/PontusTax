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Property Tax" sheetId="2" state="visible" r:id="rId4"/>
  </sheets>
  <definedNames>
    <definedName function="false" hidden="true" localSheetId="1" name="_xlnm._FilterDatabase" vbProcedure="false">'Property Tax'!$A$3:$R$83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37" authorId="0">
      <text>
        <r>
          <rPr>
            <sz val="10"/>
            <rFont val="Arial"/>
            <family val="2"/>
          </rPr>
          <t xml:space="preserve">Matt Kopsky:
three taxing authorities: City of Bowling Green, Warren County and School</t>
        </r>
      </text>
    </comment>
    <comment ref="J22" authorId="0">
      <text>
        <r>
          <rPr>
            <sz val="10"/>
            <rFont val="Arial"/>
            <family val="2"/>
          </rPr>
          <t xml:space="preserve">Matt Kopsky:
county</t>
        </r>
      </text>
    </comment>
    <comment ref="K22" authorId="0">
      <text>
        <r>
          <rPr>
            <sz val="10"/>
            <rFont val="Arial"/>
            <family val="2"/>
          </rPr>
          <t xml:space="preserve">Matt Kopsky:
school</t>
        </r>
      </text>
    </comment>
    <comment ref="AJ3" authorId="0">
      <text>
        <r>
          <rPr>
            <sz val="10"/>
            <rFont val="Arial"/>
            <family val="2"/>
          </rPr>
          <t xml:space="preserve">Variance % thresholds (placeholders — confirm with Michael):
  &gt;=15%  STRONG (file with high priority)
  &gt;=10%  FILE (worth filing)
  &gt;=7%   INVESTIGATE (worth a closer look)
  &lt;7%    PASS (don't appeal)
Variance = (Actual assessment - BOV median mid) / BOV median mid.
Negative variance means county is under-assessing — don't appeal.</t>
        </r>
      </text>
    </comment>
  </commentList>
</comments>
</file>

<file path=xl/sharedStrings.xml><?xml version="1.0" encoding="utf-8"?>
<sst xmlns="http://schemas.openxmlformats.org/spreadsheetml/2006/main" count="1078" uniqueCount="625">
  <si>
    <t xml:space="preserve">Pontus Property Tax — Master Template</t>
  </si>
  <si>
    <t xml:space="preserve">How to read this template</t>
  </si>
  <si>
    <t xml:space="preserve">Columns A–R are the original tracker (analyst-maintained). Columns S–V (cream background) are filled BY THE CHECKER on every run. Columns W–AG (Jurisdiction Links, BOV, Actual assessment) are filled BY ANALYSTS over time. Columns AH–AJ are computed by Excel formulas — don't edit them.</t>
  </si>
  <si>
    <t xml:space="preserve">Payment Status — written by the checker (S–V)</t>
  </si>
  <si>
    <t xml:space="preserve">Ultimate payment due (S)</t>
  </si>
  <si>
    <t xml:space="preserve">Final amount currently owed after discounts and any accrued penalties/interest. Blank when paid. NOT the gross billed amount.</t>
  </si>
  <si>
    <t xml:space="preserve">Payment date (T)</t>
  </si>
  <si>
    <t xml:space="preserve">Date the payment was posted at the county. Real Excel date.</t>
  </si>
  <si>
    <t xml:space="preserve">Payment amount (U)</t>
  </si>
  <si>
    <t xml:space="preserve">What was actually paid. Often less than the gross bill because of early-payment discounts (FL: 4% Nov, 3% Dec, 2% Jan, 1% Feb).</t>
  </si>
  <si>
    <t xml:space="preserve">Next due date (V)</t>
  </si>
  <si>
    <t xml:space="preserve">Next upcoming installment deadline. For Florida-style annual bills this is next March 31; for California secured roll, the next of the two installment dates.</t>
  </si>
  <si>
    <t xml:space="preserve">Analyst-filled — Jurisdiction &amp; Stage 2 (W–AG)</t>
  </si>
  <si>
    <t xml:space="preserve">Jurisdiction link primary (W)</t>
  </si>
  <si>
    <t xml:space="preserve">Primary authority URL (county). Defaulted to the existing Website column.</t>
  </si>
  <si>
    <t xml:space="preserve">Jurisdiction link secondary (X)</t>
  </si>
  <si>
    <t xml:space="preserve">Secondary authority URL (city/municipality) — most rows blank.</t>
  </si>
  <si>
    <t xml:space="preserve">Jurisdiction link tertiary (Y)</t>
  </si>
  <si>
    <t xml:space="preserve">Tertiary authority URL (special districts: fire, water mgmt, school). Most rows blank.</t>
  </si>
  <si>
    <t xml:space="preserve">BOV source (Z)</t>
  </si>
  <si>
    <t xml:space="preserve">Broker name + rep + date the BOV was given. Audit trail for which broker's opinion is in the next 3 columns.</t>
  </si>
  <si>
    <t xml:space="preserve">BOV high / mid / low (AA-AC)</t>
  </si>
  <si>
    <t xml:space="preserve">A single broker's three-point opinion of value.</t>
  </si>
  <si>
    <t xml:space="preserve">BOV median high / mid / low (AD-AF)</t>
  </si>
  <si>
    <t xml:space="preserve">Median across multiple brokers' BOVs (when Pontus collects more than one). Falls back to the single BOV when only one exists.</t>
  </si>
  <si>
    <t xml:space="preserve">Actual assessment (AG)</t>
  </si>
  <si>
    <t xml:space="preserve">County's assessed value (the official roll value). Analyst-filled today; Stage 2 may scrape from assessor sites where exposed.</t>
  </si>
  <si>
    <t xml:space="preserve">Computed by formulas — don't edit (AH–AJ)</t>
  </si>
  <si>
    <t xml:space="preserve">Variance ($) (AH)</t>
  </si>
  <si>
    <t xml:space="preserve">FORMULA: Actual assessment − BOV median mid. Positive = county is over-assessing (appeal candidate).</t>
  </si>
  <si>
    <t xml:space="preserve">Variance (%) (AI)</t>
  </si>
  <si>
    <t xml:space="preserve">FORMULA: Variance ($) / BOV median mid. The percentage gap.</t>
  </si>
  <si>
    <t xml:space="preserve">Appeal flag (AJ)</t>
  </si>
  <si>
    <t xml:space="preserve">FORMULA: STRONG if ≥15%, FILE if ≥10%, INVESTIGATE if ≥7%, PASS otherwise. Thresholds are PLACEHOLDERS — confirm with Michael.</t>
  </si>
  <si>
    <t xml:space="preserve">Placeholder data</t>
  </si>
  <si>
    <t xml:space="preserve">Numbers in the new columns are RANDOM placeholders so the formulas and conditional formatting are visible. Replace with real data before using for any decision. The Variance/Appeal Flag formulas recompute automatically.</t>
  </si>
  <si>
    <t xml:space="preserve">Open questions to resolve with Michael</t>
  </si>
  <si>
    <t xml:space="preserve">Appeal threshold</t>
  </si>
  <si>
    <t xml:space="preserve">What variance % does Pontus actually use to decide whether to appeal? Industry rule-of-thumb is 10% but jurisdictions and consultants vary. Currently set to 7/10/15%.</t>
  </si>
  <si>
    <t xml:space="preserve">BOV median aggregation</t>
  </si>
  <si>
    <t xml:space="preserve">Are the median columns aggregating multiple brokers, multiple time periods, or multiple valuation methods? Affects how the columns get populated in practice.</t>
  </si>
  <si>
    <t xml:space="preserve">Multi-authority data</t>
  </si>
  <si>
    <t xml:space="preserve">Per-authority assessed values aren't visible on most portals. The Jurisdiction Links columns let analysts manually link out; auto-scraping per-authority is deferred to Stage 2.</t>
  </si>
  <si>
    <t xml:space="preserve">Location</t>
  </si>
  <si>
    <t xml:space="preserve">Business Plan</t>
  </si>
  <si>
    <t xml:space="preserve">Property Tax</t>
  </si>
  <si>
    <t xml:space="preserve">Due Date</t>
  </si>
  <si>
    <t xml:space="preserve">Payment Status (Last Run)</t>
  </si>
  <si>
    <t xml:space="preserve">Jurisdiction Links</t>
  </si>
  <si>
    <t xml:space="preserve">BOV — Single Broker</t>
  </si>
  <si>
    <t xml:space="preserve">BOV — Median of Multiple</t>
  </si>
  <si>
    <t xml:space="preserve">Assessment &amp; Appeal</t>
  </si>
  <si>
    <t xml:space="preserve">Address</t>
  </si>
  <si>
    <t xml:space="preserve">City</t>
  </si>
  <si>
    <t xml:space="preserve">ST</t>
  </si>
  <si>
    <t xml:space="preserve">Zip</t>
  </si>
  <si>
    <t xml:space="preserve">Owner Entity</t>
  </si>
  <si>
    <t xml:space="preserve">PID</t>
  </si>
  <si>
    <t xml:space="preserve">Account #</t>
  </si>
  <si>
    <t xml:space="preserve"># Installments</t>
  </si>
  <si>
    <t xml:space="preserve">Early Bird</t>
  </si>
  <si>
    <t xml:space="preserve">#1</t>
  </si>
  <si>
    <t xml:space="preserve">#2</t>
  </si>
  <si>
    <t xml:space="preserve">#3</t>
  </si>
  <si>
    <t xml:space="preserve">#4</t>
  </si>
  <si>
    <t xml:space="preserve">Paid Confirmation</t>
  </si>
  <si>
    <t xml:space="preserve">Responsible Party</t>
  </si>
  <si>
    <t xml:space="preserve">Taxing Authority</t>
  </si>
  <si>
    <t xml:space="preserve">Phone</t>
  </si>
  <si>
    <t xml:space="preserve">Website</t>
  </si>
  <si>
    <t xml:space="preserve">Ultimate payment due</t>
  </si>
  <si>
    <t xml:space="preserve">Payment date</t>
  </si>
  <si>
    <t xml:space="preserve">Payment amount</t>
  </si>
  <si>
    <t xml:space="preserve">Next due date</t>
  </si>
  <si>
    <t xml:space="preserve">Jurisdiction link primary</t>
  </si>
  <si>
    <t xml:space="preserve">Jurisdiction link secondary</t>
  </si>
  <si>
    <t xml:space="preserve">Jurisdiction link tertiary</t>
  </si>
  <si>
    <t xml:space="preserve">BOV source</t>
  </si>
  <si>
    <t xml:space="preserve">BOV high</t>
  </si>
  <si>
    <t xml:space="preserve">BOV mid</t>
  </si>
  <si>
    <t xml:space="preserve">BOV low</t>
  </si>
  <si>
    <t xml:space="preserve">BOV median high</t>
  </si>
  <si>
    <t xml:space="preserve">BOV median mid</t>
  </si>
  <si>
    <t xml:space="preserve">BOV median low</t>
  </si>
  <si>
    <t xml:space="preserve">Actual assessment</t>
  </si>
  <si>
    <t xml:space="preserve">Variance ($)</t>
  </si>
  <si>
    <t xml:space="preserve">Variance (%)</t>
  </si>
  <si>
    <t xml:space="preserve">Appeal flag</t>
  </si>
  <si>
    <t xml:space="preserve">4158 CR 218</t>
  </si>
  <si>
    <t xml:space="preserve">Middleburg</t>
  </si>
  <si>
    <t xml:space="preserve">FL</t>
  </si>
  <si>
    <t xml:space="preserve">PC Slices, LLC</t>
  </si>
  <si>
    <t xml:space="preserve">PS4158</t>
  </si>
  <si>
    <t xml:space="preserve">09-05-24-005954-056-00</t>
  </si>
  <si>
    <t xml:space="preserve">Perfect Pizza</t>
  </si>
  <si>
    <t xml:space="preserve">Clay County </t>
  </si>
  <si>
    <t xml:space="preserve">https://county-taxes.net/fl-clay/property-tax/Y2xheTpyZWFsX2VzdGF0ZTpwYXJlbnRzOjM2OTQwMzc0LTM0N2MtMTFlZC05NzQ1LThlM2ZlZjFhN2Q3MQ==</t>
  </si>
  <si>
    <t xml:space="preserve">2025-11-15</t>
  </si>
  <si>
    <t xml:space="preserve">2026-11-23</t>
  </si>
  <si>
    <t xml:space="preserve">TBD — replace with broker name + date</t>
  </si>
  <si>
    <t xml:space="preserve">1210 Blanding Blvd.</t>
  </si>
  <si>
    <t xml:space="preserve">Orange Park</t>
  </si>
  <si>
    <t xml:space="preserve">PS1210</t>
  </si>
  <si>
    <t xml:space="preserve">270425-020949-003-00</t>
  </si>
  <si>
    <t xml:space="preserve">https://county-taxes.net/fl-clay/fl-clay/property-tax/Y2xheTpyZWFsX2VzdGF0ZTpwYXJlbnRzOjUwMWFhMGI0LTM0N2MtMTFlZC1hZmNhLTMzN2E4MWM5MGY1MA==</t>
  </si>
  <si>
    <t xml:space="preserve">2025-11-27</t>
  </si>
  <si>
    <t xml:space="preserve">2026-12-19</t>
  </si>
  <si>
    <t xml:space="preserve">1602 Reid Street</t>
  </si>
  <si>
    <t xml:space="preserve">Palatka</t>
  </si>
  <si>
    <t xml:space="preserve">PS1602</t>
  </si>
  <si>
    <t xml:space="preserve">37-10-26-6850-3040-0100</t>
  </si>
  <si>
    <t xml:space="preserve">MVM</t>
  </si>
  <si>
    <t xml:space="preserve">Putnam County</t>
  </si>
  <si>
    <t xml:space="preserve">https://ptaxweb.putnamtax.com/ptaxweb/editPropertySearch2.action</t>
  </si>
  <si>
    <t xml:space="preserve">2025-12-22</t>
  </si>
  <si>
    <t xml:space="preserve">2026-12-14</t>
  </si>
  <si>
    <t xml:space="preserve">3570 S US 1</t>
  </si>
  <si>
    <t xml:space="preserve">Saint Augustine</t>
  </si>
  <si>
    <t xml:space="preserve">PS3570</t>
  </si>
  <si>
    <t xml:space="preserve">173800-0030</t>
  </si>
  <si>
    <t xml:space="preserve">St. Johns County</t>
  </si>
  <si>
    <t xml:space="preserve">https://www.stjohnstax.us/PropertyDetail?p=173800-0030&amp;y=2024&amp;b=127955.0000</t>
  </si>
  <si>
    <t xml:space="preserve">2025-11-26</t>
  </si>
  <si>
    <t xml:space="preserve">https://example.com/x/property-7</t>
  </si>
  <si>
    <t xml:space="preserve">950 Evernia St</t>
  </si>
  <si>
    <t xml:space="preserve">West Palm Beach</t>
  </si>
  <si>
    <t xml:space="preserve">Pontus EHC Palm Beach, LLC</t>
  </si>
  <si>
    <t xml:space="preserve">EHC950</t>
  </si>
  <si>
    <t xml:space="preserve">Ethema</t>
  </si>
  <si>
    <t xml:space="preserve">https://pbctax.publicaccessnow.com/PropertyTax/Account/BillDetail.aspx?p=74-43-43-21-01-043-0050&amp;t=Real%20Property&amp;a=1418360&amp;b=26795046&amp;y=2024&amp;n=101606030</t>
  </si>
  <si>
    <t xml:space="preserve">2025-12-27</t>
  </si>
  <si>
    <t xml:space="preserve">2026-11-22</t>
  </si>
  <si>
    <t xml:space="preserve">1 Valpak Avenue</t>
  </si>
  <si>
    <t xml:space="preserve">St. Petersburg</t>
  </si>
  <si>
    <t xml:space="preserve">Pontus PAK Tampa, LLC</t>
  </si>
  <si>
    <t xml:space="preserve">PAK1000</t>
  </si>
  <si>
    <t xml:space="preserve">R444958</t>
  </si>
  <si>
    <t xml:space="preserve">Valpak</t>
  </si>
  <si>
    <t xml:space="preserve">https://pinellastaxcollector.gov/property-tax/</t>
  </si>
  <si>
    <t xml:space="preserve">2025-12-19</t>
  </si>
  <si>
    <t xml:space="preserve">2026-11-12</t>
  </si>
  <si>
    <t xml:space="preserve">8301 W. McNab Road</t>
  </si>
  <si>
    <t xml:space="preserve">Tamarac</t>
  </si>
  <si>
    <t xml:space="preserve">Pontus SW Portfolio, LLC</t>
  </si>
  <si>
    <t xml:space="preserve">SW8301</t>
  </si>
  <si>
    <t xml:space="preserve">494104 20 0110</t>
  </si>
  <si>
    <t xml:space="preserve">Regard</t>
  </si>
  <si>
    <t xml:space="preserve">Broward County</t>
  </si>
  <si>
    <t xml:space="preserve">www.broward.org</t>
  </si>
  <si>
    <t xml:space="preserve">2025-12-28</t>
  </si>
  <si>
    <t xml:space="preserve">2026-11-26</t>
  </si>
  <si>
    <t xml:space="preserve">615 E Elkcam Cir</t>
  </si>
  <si>
    <t xml:space="preserve">Marco Island</t>
  </si>
  <si>
    <t xml:space="preserve">Pontus Vault Portfolio, LLC</t>
  </si>
  <si>
    <t xml:space="preserve">VP615</t>
  </si>
  <si>
    <t xml:space="preserve">Trulieve</t>
  </si>
  <si>
    <t xml:space="preserve">Collier County</t>
  </si>
  <si>
    <t xml:space="preserve">https://county-taxes.net/fl-collier/property-tax/Y29sbGllcjpyZWFsX2VzdGF0ZTpwYXJlbnRzOmQ0MzUyMmQ5LWU1MDgtMTFlYi1hODBmLTAwNTA1NjgxYTJiNw==</t>
  </si>
  <si>
    <t xml:space="preserve">2025-11-10</t>
  </si>
  <si>
    <t xml:space="preserve">https://example.com/y/property-11</t>
  </si>
  <si>
    <t xml:space="preserve">3030 North Military Trail</t>
  </si>
  <si>
    <t xml:space="preserve">Pontus TP Portfolio, LLC</t>
  </si>
  <si>
    <t xml:space="preserve">TP3030</t>
  </si>
  <si>
    <t xml:space="preserve">00-42-43-13-01-004-0020</t>
  </si>
  <si>
    <t xml:space="preserve">Pinnacle</t>
  </si>
  <si>
    <t xml:space="preserve">Palm Beach County</t>
  </si>
  <si>
    <t xml:space="preserve">(561) 355-2264</t>
  </si>
  <si>
    <t xml:space="preserve">https://www.pbctax.com/real-estate-property-tax/</t>
  </si>
  <si>
    <t xml:space="preserve">2025-11-19</t>
  </si>
  <si>
    <t xml:space="preserve">2026-12-13</t>
  </si>
  <si>
    <t xml:space="preserve">805 11th St</t>
  </si>
  <si>
    <t xml:space="preserve">Lakeport</t>
  </si>
  <si>
    <t xml:space="preserve">CA</t>
  </si>
  <si>
    <t xml:space="preserve">VP805</t>
  </si>
  <si>
    <t xml:space="preserve">026-301-280-000</t>
  </si>
  <si>
    <t xml:space="preserve">Umpqua Bank - CAM</t>
  </si>
  <si>
    <t xml:space="preserve">Lake County</t>
  </si>
  <si>
    <t xml:space="preserve">https://common2.mptsweb.com/MBC/lake/tax/main/026301280000/2024/0000</t>
  </si>
  <si>
    <t xml:space="preserve">99 East 5th Street</t>
  </si>
  <si>
    <t xml:space="preserve">Douglas</t>
  </si>
  <si>
    <t xml:space="preserve">AZ</t>
  </si>
  <si>
    <t xml:space="preserve">Pontus BK Portfolio, LLC</t>
  </si>
  <si>
    <t xml:space="preserve">BK99</t>
  </si>
  <si>
    <t xml:space="preserve">409-09-081D0</t>
  </si>
  <si>
    <t xml:space="preserve">KRAF</t>
  </si>
  <si>
    <t xml:space="preserve">Cochise County</t>
  </si>
  <si>
    <t xml:space="preserve">https://parcelinquirytreasurer.cochise.az.gov/Parcel/PaymentHistory?parcelNumber=40909081D0&amp;taxYear=2024</t>
  </si>
  <si>
    <t xml:space="preserve">2025-11-23</t>
  </si>
  <si>
    <t xml:space="preserve">2026-11-18</t>
  </si>
  <si>
    <t xml:space="preserve">https://example.com/x/property-14</t>
  </si>
  <si>
    <t xml:space="preserve">3485 Ajo Way</t>
  </si>
  <si>
    <t xml:space="preserve">Valencia</t>
  </si>
  <si>
    <t xml:space="preserve">BK3485</t>
  </si>
  <si>
    <t xml:space="preserve">13204211C</t>
  </si>
  <si>
    <t xml:space="preserve">Pima County</t>
  </si>
  <si>
    <t xml:space="preserve">http://www.to.pima.gov/</t>
  </si>
  <si>
    <t xml:space="preserve">2025-11-13</t>
  </si>
  <si>
    <t xml:space="preserve">2026-12-11</t>
  </si>
  <si>
    <t xml:space="preserve">10420 Research Rd. SE</t>
  </si>
  <si>
    <t xml:space="preserve">Albuquerque</t>
  </si>
  <si>
    <t xml:space="preserve">NM</t>
  </si>
  <si>
    <t xml:space="preserve">Pontus ST Albuquerque, LLC</t>
  </si>
  <si>
    <t xml:space="preserve">ST10420</t>
  </si>
  <si>
    <t xml:space="preserve">1 021 055 050 415 20166</t>
  </si>
  <si>
    <t xml:space="preserve">SolAero</t>
  </si>
  <si>
    <t xml:space="preserve">Bernalillo County</t>
  </si>
  <si>
    <t xml:space="preserve">(505) 468-7031</t>
  </si>
  <si>
    <t xml:space="preserve">https://www.bernco.gov/treasurer/paying-your-property-taxes-overview/</t>
  </si>
  <si>
    <t xml:space="preserve">2025-11-24</t>
  </si>
  <si>
    <t xml:space="preserve">2026-11-27</t>
  </si>
  <si>
    <t xml:space="preserve">6740 Shady Oak Lane</t>
  </si>
  <si>
    <t xml:space="preserve">Eden Prairie</t>
  </si>
  <si>
    <t xml:space="preserve">MN</t>
  </si>
  <si>
    <t xml:space="preserve">Pontus IMB Portfolio, LLC</t>
  </si>
  <si>
    <t xml:space="preserve">IMB6740</t>
  </si>
  <si>
    <t xml:space="preserve">0111622340022</t>
  </si>
  <si>
    <t xml:space="preserve">Pontus</t>
  </si>
  <si>
    <t xml:space="preserve">Hennepin County</t>
  </si>
  <si>
    <t xml:space="preserve">https://www.hennepin.us/propertytaxpayments/</t>
  </si>
  <si>
    <t xml:space="preserve">2025-11-16</t>
  </si>
  <si>
    <t xml:space="preserve">2026-11-19</t>
  </si>
  <si>
    <t xml:space="preserve"> 1330 Old Country Rd</t>
  </si>
  <si>
    <t xml:space="preserve">Riverhead</t>
  </si>
  <si>
    <t xml:space="preserve">NY</t>
  </si>
  <si>
    <t xml:space="preserve">Pontus DC Riverhead, LLC</t>
  </si>
  <si>
    <t xml:space="preserve">DC1330</t>
  </si>
  <si>
    <t xml:space="preserve">Dennis</t>
  </si>
  <si>
    <t xml:space="preserve">Town of Riverhead</t>
  </si>
  <si>
    <t xml:space="preserve">https://tax.egov.basgov.com/riverhead/TaxBill/BillDetailsPaymentOptions?TaxBillID=93938c45-39ac-ef11-9968-509a4c486007</t>
  </si>
  <si>
    <t xml:space="preserve">2026-12-16</t>
  </si>
  <si>
    <t xml:space="preserve"> 1320 Old Country Rd</t>
  </si>
  <si>
    <t xml:space="preserve">DC1320</t>
  </si>
  <si>
    <t xml:space="preserve">4023 W Hundred Rd</t>
  </si>
  <si>
    <t xml:space="preserve">Chester</t>
  </si>
  <si>
    <t xml:space="preserve">VA</t>
  </si>
  <si>
    <t xml:space="preserve">VP4023</t>
  </si>
  <si>
    <t xml:space="preserve">Chesterfield County</t>
  </si>
  <si>
    <t xml:space="preserve">https://chesterfield.virginiainteractive.org/Treasurer/Main</t>
  </si>
  <si>
    <t xml:space="preserve">2025-11-12</t>
  </si>
  <si>
    <t xml:space="preserve">2026-12-21</t>
  </si>
  <si>
    <t xml:space="preserve">2993 Shore Dr</t>
  </si>
  <si>
    <t xml:space="preserve">Virginia Beach</t>
  </si>
  <si>
    <t xml:space="preserve">VP2993</t>
  </si>
  <si>
    <t xml:space="preserve">City of Virginia Beach</t>
  </si>
  <si>
    <t xml:space="preserve">https://pay.vbepay.com/Citizen/ViewAccount/364817</t>
  </si>
  <si>
    <t xml:space="preserve">https://example.com/x/property-21</t>
  </si>
  <si>
    <t xml:space="preserve">287 Holland Road</t>
  </si>
  <si>
    <t xml:space="preserve">Holland</t>
  </si>
  <si>
    <t xml:space="preserve">PA</t>
  </si>
  <si>
    <t xml:space="preserve">PC Shell, LLC</t>
  </si>
  <si>
    <t xml:space="preserve">SH287</t>
  </si>
  <si>
    <t xml:space="preserve">Suki</t>
  </si>
  <si>
    <t xml:space="preserve">https://example.com/w/property-22</t>
  </si>
  <si>
    <t xml:space="preserve">https://example.com/y/property-22</t>
  </si>
  <si>
    <t xml:space="preserve">3880 LaVista Rd</t>
  </si>
  <si>
    <t xml:space="preserve">Tucker</t>
  </si>
  <si>
    <t xml:space="preserve">GA</t>
  </si>
  <si>
    <t xml:space="preserve">VP3880</t>
  </si>
  <si>
    <t xml:space="preserve">18-190-01-013</t>
  </si>
  <si>
    <t xml:space="preserve">Regions Bank</t>
  </si>
  <si>
    <t xml:space="preserve">Dekalb County</t>
  </si>
  <si>
    <t xml:space="preserve">https://publicaccess.dekalbtax.org/Datalets/Datalet.aspx?sIndex=2&amp;idx=1</t>
  </si>
  <si>
    <t xml:space="preserve">2025-12-10</t>
  </si>
  <si>
    <t xml:space="preserve">2026-11-11</t>
  </si>
  <si>
    <t xml:space="preserve">3805 Macon Rd</t>
  </si>
  <si>
    <t xml:space="preserve">Columbus</t>
  </si>
  <si>
    <t xml:space="preserve">VP3805</t>
  </si>
  <si>
    <t xml:space="preserve">085 008 002</t>
  </si>
  <si>
    <t xml:space="preserve">Muscogee County</t>
  </si>
  <si>
    <t xml:space="preserve">https://muscogeecountyga.governmentwindow.com/select_bill.html?search_mode=search2&amp;tax_year=2018&amp;name=&amp;map_code=085+008+002&amp;address=</t>
  </si>
  <si>
    <t xml:space="preserve">2025-11-22</t>
  </si>
  <si>
    <t xml:space="preserve">2419 Cheshire Bridge Rd NE</t>
  </si>
  <si>
    <t xml:space="preserve">Atlanta</t>
  </si>
  <si>
    <t xml:space="preserve">VP2419</t>
  </si>
  <si>
    <t xml:space="preserve">17 -0006-0003-048-4 (3 total bills, including solid waste bill)</t>
  </si>
  <si>
    <t xml:space="preserve">Fulton County</t>
  </si>
  <si>
    <t xml:space="preserve">https://www.fultoncountytaxes.org/propertytax/summary/17%20000600030484</t>
  </si>
  <si>
    <t xml:space="preserve">2025-12-12</t>
  </si>
  <si>
    <t xml:space="preserve">17 Kings Hwy W</t>
  </si>
  <si>
    <t xml:space="preserve">Haddonfield</t>
  </si>
  <si>
    <t xml:space="preserve">NJ</t>
  </si>
  <si>
    <t xml:space="preserve">VP17</t>
  </si>
  <si>
    <t xml:space="preserve">17-00134-0000-00009-01</t>
  </si>
  <si>
    <t xml:space="preserve">Fulton Bank</t>
  </si>
  <si>
    <t xml:space="preserve">Borough of Haddonfield</t>
  </si>
  <si>
    <t xml:space="preserve">(856) 429-4700 ext. 206</t>
  </si>
  <si>
    <t xml:space="preserve">https://wipp.edmundsassoc.com/Wipp/?wippid=0417#taxPage4546</t>
  </si>
  <si>
    <t xml:space="preserve">2855 Auto Mall Parkway</t>
  </si>
  <si>
    <t xml:space="preserve">Fairfield</t>
  </si>
  <si>
    <t xml:space="preserve">Pontus MAG Fairfield II, LLC</t>
  </si>
  <si>
    <t xml:space="preserve">MAG2855</t>
  </si>
  <si>
    <t xml:space="preserve">Schomp</t>
  </si>
  <si>
    <t xml:space="preserve">Solano County</t>
  </si>
  <si>
    <t xml:space="preserve">www.solanocounty.com</t>
  </si>
  <si>
    <t xml:space="preserve">2025-12-17</t>
  </si>
  <si>
    <t xml:space="preserve">2026-11-10</t>
  </si>
  <si>
    <t xml:space="preserve">2701 Auto Mall Parkway</t>
  </si>
  <si>
    <t xml:space="preserve">Pontus MAG Fairfield III, LLC</t>
  </si>
  <si>
    <t xml:space="preserve">MAG2701</t>
  </si>
  <si>
    <t xml:space="preserve">2026-12-26</t>
  </si>
  <si>
    <t xml:space="preserve">https://example.com/x/property-28</t>
  </si>
  <si>
    <t xml:space="preserve">2775 Auto Mall Pkwy</t>
  </si>
  <si>
    <t xml:space="preserve">MAG2775</t>
  </si>
  <si>
    <t xml:space="preserve">2026-11-25</t>
  </si>
  <si>
    <t xml:space="preserve">3970 Missouri Flat Rd</t>
  </si>
  <si>
    <t xml:space="preserve">Placerville</t>
  </si>
  <si>
    <t xml:space="preserve">VP3970</t>
  </si>
  <si>
    <t xml:space="preserve">327-130-040-000</t>
  </si>
  <si>
    <t xml:space="preserve">El Dorado County</t>
  </si>
  <si>
    <t xml:space="preserve">https://common3.mptsweb.com/MBC/eldorado/tax/main/327130040000/2024/0000</t>
  </si>
  <si>
    <t xml:space="preserve">2025-11-18</t>
  </si>
  <si>
    <t xml:space="preserve">1801 Douglas Blvd</t>
  </si>
  <si>
    <t xml:space="preserve">Roseville</t>
  </si>
  <si>
    <t xml:space="preserve">VP1801</t>
  </si>
  <si>
    <t xml:space="preserve">048-520-006-000</t>
  </si>
  <si>
    <t xml:space="preserve">Placer County</t>
  </si>
  <si>
    <t xml:space="preserve">https://common3.mptsweb.com/MBC/placer/tax/main/048520006000/2024/0000</t>
  </si>
  <si>
    <t xml:space="preserve">2025-12-16</t>
  </si>
  <si>
    <t xml:space="preserve">2026-12-10</t>
  </si>
  <si>
    <t xml:space="preserve">229 S Washington St</t>
  </si>
  <si>
    <t xml:space="preserve">Sonora</t>
  </si>
  <si>
    <t xml:space="preserve">VP229</t>
  </si>
  <si>
    <t xml:space="preserve">001-201-010-000 (TWO BILLS)</t>
  </si>
  <si>
    <t xml:space="preserve">Tuolumne County</t>
  </si>
  <si>
    <t xml:space="preserve">209-533-5544</t>
  </si>
  <si>
    <t xml:space="preserve">https://common3.mptsweb.com/MBC/tuolumne/tax/main/001201010000/2024/0000</t>
  </si>
  <si>
    <t xml:space="preserve">2026-12-24</t>
  </si>
  <si>
    <t xml:space="preserve">2621 North Bolton Avenue</t>
  </si>
  <si>
    <t xml:space="preserve">Alexandria</t>
  </si>
  <si>
    <t xml:space="preserve">LA</t>
  </si>
  <si>
    <t xml:space="preserve">Pontus OH Portfolio, LLC</t>
  </si>
  <si>
    <t xml:space="preserve">OH2621</t>
  </si>
  <si>
    <t xml:space="preserve">Oceans</t>
  </si>
  <si>
    <t xml:space="preserve">Rapides Parish Sheriff's Office</t>
  </si>
  <si>
    <t xml:space="preserve">www.rpso.org</t>
  </si>
  <si>
    <t xml:space="preserve">2025-12-13</t>
  </si>
  <si>
    <t xml:space="preserve">https://example.com/y/property-33</t>
  </si>
  <si>
    <t xml:space="preserve">11135 Florida Boulevard</t>
  </si>
  <si>
    <t xml:space="preserve">Baton Rouge</t>
  </si>
  <si>
    <t xml:space="preserve">OH11135</t>
  </si>
  <si>
    <t xml:space="preserve">East Baton Rouge Parish</t>
  </si>
  <si>
    <t xml:space="preserve">https://snstaxpayments.com/ebr</t>
  </si>
  <si>
    <t xml:space="preserve">2025-12-20</t>
  </si>
  <si>
    <t xml:space="preserve">302 West McNeese Street</t>
  </si>
  <si>
    <t xml:space="preserve">Lake Charles</t>
  </si>
  <si>
    <t xml:space="preserve">OH302</t>
  </si>
  <si>
    <t xml:space="preserve">00310891</t>
  </si>
  <si>
    <t xml:space="preserve">Calcasieu Parish</t>
  </si>
  <si>
    <t xml:space="preserve">https://snstaxpayments.com/calcasieu</t>
  </si>
  <si>
    <t xml:space="preserve">2025-12-11</t>
  </si>
  <si>
    <t xml:space="preserve">https://example.com/x/property-35</t>
  </si>
  <si>
    <t xml:space="preserve">1310 Heather Drive</t>
  </si>
  <si>
    <t xml:space="preserve">Opelousas</t>
  </si>
  <si>
    <t xml:space="preserve">OH1310</t>
  </si>
  <si>
    <t xml:space="preserve">0102691000</t>
  </si>
  <si>
    <t xml:space="preserve">St. Landry Parish</t>
  </si>
  <si>
    <t xml:space="preserve">https://snstaxpayments.com/stlandry</t>
  </si>
  <si>
    <t xml:space="preserve">2025-11-25</t>
  </si>
  <si>
    <t xml:space="preserve">2026-12-22</t>
  </si>
  <si>
    <t xml:space="preserve">4811 Nashville Rd</t>
  </si>
  <si>
    <t xml:space="preserve">Bowling Green</t>
  </si>
  <si>
    <t xml:space="preserve">KY</t>
  </si>
  <si>
    <t xml:space="preserve">IMB4811</t>
  </si>
  <si>
    <t xml:space="preserve">041B77B</t>
  </si>
  <si>
    <t xml:space="preserve">https://www.bgky.org/property-tax-search/invoices/156635</t>
  </si>
  <si>
    <t xml:space="preserve">2025-11-21</t>
  </si>
  <si>
    <t xml:space="preserve">2026-12-20</t>
  </si>
  <si>
    <t xml:space="preserve">4813 Nashville Rd</t>
  </si>
  <si>
    <t xml:space="preserve">IMB4813</t>
  </si>
  <si>
    <t xml:space="preserve">041B77D</t>
  </si>
  <si>
    <t xml:space="preserve">2025-12-24</t>
  </si>
  <si>
    <t xml:space="preserve">2026-11-20</t>
  </si>
  <si>
    <t xml:space="preserve">1145 US Highway 70 W</t>
  </si>
  <si>
    <t xml:space="preserve">Garner</t>
  </si>
  <si>
    <t xml:space="preserve">NC</t>
  </si>
  <si>
    <t xml:space="preserve">VP1145</t>
  </si>
  <si>
    <t xml:space="preserve">Fifth Third</t>
  </si>
  <si>
    <t xml:space="preserve">Wake County</t>
  </si>
  <si>
    <t xml:space="preserve">https://services.wake.gov/ptax/main/billing/acctsummary.aspx?search=acct&amp;yrs=2&amp;id=229546</t>
  </si>
  <si>
    <t xml:space="preserve">4636 W Market St</t>
  </si>
  <si>
    <t xml:space="preserve">Greensboro</t>
  </si>
  <si>
    <t xml:space="preserve">VP4636</t>
  </si>
  <si>
    <t xml:space="preserve">Guilford County</t>
  </si>
  <si>
    <t xml:space="preserve">https://bcpwa.ncptscloud.com/guilfordtax/BillDetails.aspx?BillPk=11242368</t>
  </si>
  <si>
    <t xml:space="preserve">2881 Bridgewood Drive</t>
  </si>
  <si>
    <t xml:space="preserve">Fayetteville</t>
  </si>
  <si>
    <t xml:space="preserve">Pontus QP Portfolio, LLC</t>
  </si>
  <si>
    <t xml:space="preserve">QP2881</t>
  </si>
  <si>
    <t xml:space="preserve">0435-14-5604-</t>
  </si>
  <si>
    <t xml:space="preserve">GPM</t>
  </si>
  <si>
    <t xml:space="preserve">Cumberland County</t>
  </si>
  <si>
    <t xml:space="preserve">http://www.co.cumberland.nc.us/tax/payments/</t>
  </si>
  <si>
    <t xml:space="preserve">2025-11-20</t>
  </si>
  <si>
    <t xml:space="preserve">160 Jeffrey Way</t>
  </si>
  <si>
    <t xml:space="preserve">Franklin</t>
  </si>
  <si>
    <t xml:space="preserve">QP160</t>
  </si>
  <si>
    <t xml:space="preserve">Franklin County</t>
  </si>
  <si>
    <t xml:space="preserve">https://secure.webtaxpay.com/?county=franklin&amp;state=NC</t>
  </si>
  <si>
    <t xml:space="preserve">2026-12-25</t>
  </si>
  <si>
    <t xml:space="preserve">https://example.com/x/property-42</t>
  </si>
  <si>
    <t xml:space="preserve">7301 Cessna Drive</t>
  </si>
  <si>
    <t xml:space="preserve">QP7301</t>
  </si>
  <si>
    <t xml:space="preserve">http://taxweb.guilfordcountync.gov/PublicWebAccess/</t>
  </si>
  <si>
    <t xml:space="preserve">2026-11-16</t>
  </si>
  <si>
    <t xml:space="preserve">1210 East Trinity Avenue</t>
  </si>
  <si>
    <t xml:space="preserve">High Point</t>
  </si>
  <si>
    <t xml:space="preserve">QP1210</t>
  </si>
  <si>
    <t xml:space="preserve">https://example.com/y/property-44</t>
  </si>
  <si>
    <t xml:space="preserve">765 Indeneer Drive</t>
  </si>
  <si>
    <t xml:space="preserve">Kernersville</t>
  </si>
  <si>
    <t xml:space="preserve">QP765</t>
  </si>
  <si>
    <t xml:space="preserve">6885-67-0458.000</t>
  </si>
  <si>
    <t xml:space="preserve">Forsyth County</t>
  </si>
  <si>
    <t xml:space="preserve">http://www.forsyth.cc/tax/taxbill.aspx</t>
  </si>
  <si>
    <t xml:space="preserve">2026-12-17</t>
  </si>
  <si>
    <t xml:space="preserve">3916 Commerce Park Drive</t>
  </si>
  <si>
    <t xml:space="preserve">Raleigh</t>
  </si>
  <si>
    <t xml:space="preserve">QP3916</t>
  </si>
  <si>
    <t xml:space="preserve">0219662</t>
  </si>
  <si>
    <t xml:space="preserve">http://www.wakegov.com/tax/Pages/default.aspx</t>
  </si>
  <si>
    <t xml:space="preserve">2025-11-11</t>
  </si>
  <si>
    <t xml:space="preserve">2483 North Church Street</t>
  </si>
  <si>
    <t xml:space="preserve">Rocky Mount</t>
  </si>
  <si>
    <t xml:space="preserve">QP2483</t>
  </si>
  <si>
    <t xml:space="preserve">Nash County</t>
  </si>
  <si>
    <t xml:space="preserve">https://nashcountync.gov/498/Tax-Payments</t>
  </si>
  <si>
    <t xml:space="preserve">2026-11-13</t>
  </si>
  <si>
    <t xml:space="preserve">2521 Empire Drive</t>
  </si>
  <si>
    <t xml:space="preserve">Winston-Salem</t>
  </si>
  <si>
    <t xml:space="preserve">QP2521</t>
  </si>
  <si>
    <t xml:space="preserve">6803-97-3242.000</t>
  </si>
  <si>
    <t xml:space="preserve">2026-11-15</t>
  </si>
  <si>
    <t xml:space="preserve">5423 N Lake Drive</t>
  </si>
  <si>
    <t xml:space="preserve">Morrow</t>
  </si>
  <si>
    <t xml:space="preserve">Pontus GCP Atlanta, LLC</t>
  </si>
  <si>
    <t xml:space="preserve">GCP5423</t>
  </si>
  <si>
    <t xml:space="preserve">2024-1288774</t>
  </si>
  <si>
    <t xml:space="preserve">Kabob's</t>
  </si>
  <si>
    <t xml:space="preserve">Clayton County</t>
  </si>
  <si>
    <t xml:space="preserve">https://publicaccess.claytoncountyga.gov/search/CommonSearch.aspx?mode=REALPROP</t>
  </si>
  <si>
    <t xml:space="preserve">2026-12-12</t>
  </si>
  <si>
    <t xml:space="preserve">https://example.com/x/property-49</t>
  </si>
  <si>
    <t xml:space="preserve">5377 N Lake Drive</t>
  </si>
  <si>
    <t xml:space="preserve">GCP5377</t>
  </si>
  <si>
    <t xml:space="preserve">2024-1289365</t>
  </si>
  <si>
    <t xml:space="preserve">4225 Woods Place</t>
  </si>
  <si>
    <t xml:space="preserve">Abilene</t>
  </si>
  <si>
    <t xml:space="preserve">TX</t>
  </si>
  <si>
    <t xml:space="preserve">Pontus OH Abilene, LLC</t>
  </si>
  <si>
    <t xml:space="preserve">OH4225</t>
  </si>
  <si>
    <t xml:space="preserve">Taylor County</t>
  </si>
  <si>
    <t xml:space="preserve">www.taylor-cad.org</t>
  </si>
  <si>
    <t xml:space="preserve">2026-12-18</t>
  </si>
  <si>
    <t xml:space="preserve">3300 South FM 1788</t>
  </si>
  <si>
    <t xml:space="preserve">Midland</t>
  </si>
  <si>
    <t xml:space="preserve">Pontus OH Midland, LLC</t>
  </si>
  <si>
    <t xml:space="preserve">OH3300</t>
  </si>
  <si>
    <t xml:space="preserve">R000020980</t>
  </si>
  <si>
    <t xml:space="preserve">Midland Central Appraisal District</t>
  </si>
  <si>
    <t xml:space="preserve">http://iswdataclient.azurewebsites.net/webSearchID.aspx?dbkey=midlandcad</t>
  </si>
  <si>
    <t xml:space="preserve">1120 WI-67 (Suite B)</t>
  </si>
  <si>
    <t xml:space="preserve">Kiel</t>
  </si>
  <si>
    <t xml:space="preserve">WI</t>
  </si>
  <si>
    <t xml:space="preserve">PC Acquisition, LLC</t>
  </si>
  <si>
    <t xml:space="preserve">PCA1120b</t>
  </si>
  <si>
    <t xml:space="preserve">051-029-006-004.00</t>
  </si>
  <si>
    <t xml:space="preserve">Pontus - CAM</t>
  </si>
  <si>
    <t xml:space="preserve">Manitowoc County</t>
  </si>
  <si>
    <t xml:space="preserve">920-894-2909</t>
  </si>
  <si>
    <t xml:space="preserve">https://ascent.co.manitowoc.wi.us/LandRecords/PropertyListing/RealEstateTaxParcel#/Search</t>
  </si>
  <si>
    <t xml:space="preserve">2025-12-14</t>
  </si>
  <si>
    <t xml:space="preserve">1120 WI-67 (Suite A)</t>
  </si>
  <si>
    <t xml:space="preserve">PCA1120a</t>
  </si>
  <si>
    <t xml:space="preserve">18092 FM1314</t>
  </si>
  <si>
    <t xml:space="preserve">Conroe</t>
  </si>
  <si>
    <t xml:space="preserve">Pontus POG Portfolio II, LLC</t>
  </si>
  <si>
    <t xml:space="preserve">POG18092</t>
  </si>
  <si>
    <t xml:space="preserve">https://example.com/w/property-55</t>
  </si>
  <si>
    <t xml:space="preserve">https://example.com/y/property-55</t>
  </si>
  <si>
    <t xml:space="preserve">16206 Spring Cypress Road</t>
  </si>
  <si>
    <t xml:space="preserve">Cypress</t>
  </si>
  <si>
    <t xml:space="preserve">POG16206</t>
  </si>
  <si>
    <t xml:space="preserve">2026-11-17</t>
  </si>
  <si>
    <t xml:space="preserve">https://example.com/w/property-56</t>
  </si>
  <si>
    <t xml:space="preserve">https://example.com/x/property-56</t>
  </si>
  <si>
    <t xml:space="preserve">776 NE Alsbury</t>
  </si>
  <si>
    <t xml:space="preserve">Burleson</t>
  </si>
  <si>
    <t xml:space="preserve">Pontus POG Portfolio, LLC</t>
  </si>
  <si>
    <t xml:space="preserve">POG776</t>
  </si>
  <si>
    <t xml:space="preserve">https://example.com/w/property-57</t>
  </si>
  <si>
    <t xml:space="preserve">2819 I-30</t>
  </si>
  <si>
    <t xml:space="preserve">Caddo Mills</t>
  </si>
  <si>
    <t xml:space="preserve">POG2819</t>
  </si>
  <si>
    <t xml:space="preserve">Hunt</t>
  </si>
  <si>
    <t xml:space="preserve">https://esearch.hctax.info/Property/View/23748?year=2024&amp;ownerId=1385747</t>
  </si>
  <si>
    <t xml:space="preserve">2025-12-18</t>
  </si>
  <si>
    <t xml:space="preserve">2026-12-15</t>
  </si>
  <si>
    <t xml:space="preserve">3204 Alta Mere</t>
  </si>
  <si>
    <t xml:space="preserve">Fort Worth </t>
  </si>
  <si>
    <t xml:space="preserve">POG3204</t>
  </si>
  <si>
    <t xml:space="preserve">2025-12-21</t>
  </si>
  <si>
    <t xml:space="preserve">https://example.com/w/property-59</t>
  </si>
  <si>
    <t xml:space="preserve">1406 West Gulf Bank Rd</t>
  </si>
  <si>
    <t xml:space="preserve">Houston</t>
  </si>
  <si>
    <t xml:space="preserve">POG1406</t>
  </si>
  <si>
    <t xml:space="preserve">102-050-000-0014	</t>
  </si>
  <si>
    <t xml:space="preserve">https://example.com/w/property-60</t>
  </si>
  <si>
    <t xml:space="preserve">2221 Ella Blvd</t>
  </si>
  <si>
    <t xml:space="preserve">POG2221</t>
  </si>
  <si>
    <t xml:space="preserve">https://example.com/w/property-61</t>
  </si>
  <si>
    <t xml:space="preserve">725 W Round Grove Rd</t>
  </si>
  <si>
    <t xml:space="preserve">Lewisville</t>
  </si>
  <si>
    <t xml:space="preserve">POG725</t>
  </si>
  <si>
    <t xml:space="preserve">https://taxweb.dentoncounty.gov/Accounts/AccountDetails?taxAccountNumber=204320DEN</t>
  </si>
  <si>
    <t xml:space="preserve">811 Strickland Drive</t>
  </si>
  <si>
    <t xml:space="preserve">Orange</t>
  </si>
  <si>
    <t xml:space="preserve">POG811</t>
  </si>
  <si>
    <t xml:space="preserve">https://example.com/w/property-63</t>
  </si>
  <si>
    <t xml:space="preserve">https://example.com/x/property-63</t>
  </si>
  <si>
    <t xml:space="preserve">2520 Hwy 146</t>
  </si>
  <si>
    <t xml:space="preserve">Texas City </t>
  </si>
  <si>
    <t xml:space="preserve">POG2520</t>
  </si>
  <si>
    <t xml:space="preserve">https://example.com/w/property-64</t>
  </si>
  <si>
    <t xml:space="preserve">105 E 7th St</t>
  </si>
  <si>
    <t xml:space="preserve">Winfield</t>
  </si>
  <si>
    <t xml:space="preserve">POG105</t>
  </si>
  <si>
    <t xml:space="preserve">https://example.com/w/property-65</t>
  </si>
  <si>
    <t xml:space="preserve">110 W Bloomingdale Ave</t>
  </si>
  <si>
    <t xml:space="preserve">Brandon</t>
  </si>
  <si>
    <t xml:space="preserve">VP110</t>
  </si>
  <si>
    <t xml:space="preserve">A0733680000</t>
  </si>
  <si>
    <t xml:space="preserve">Hillsborough County</t>
  </si>
  <si>
    <t xml:space="preserve">https://county-taxes.net/hillsborough/hillsborough/property-tax/aGlsbHNib3JvdWdoOnJlYWxfZXN0YXRlOnBhcmVudHM6ZjYxM2RkNGQtZTUwOS0xMWViLWFmNmMtMDA1MDU2ODFiMmNm/bills/b3f75606-85a3-11ef-b227-00505681f4ed</t>
  </si>
  <si>
    <t xml:space="preserve">https://example.com/y/property-66</t>
  </si>
  <si>
    <t xml:space="preserve">2691 Placida Rd</t>
  </si>
  <si>
    <t xml:space="preserve">Grove City</t>
  </si>
  <si>
    <t xml:space="preserve">VP2691</t>
  </si>
  <si>
    <t xml:space="preserve">Charlotte County</t>
  </si>
  <si>
    <t xml:space="preserve">https://county-taxes.net/charlotte/property-tax/Y2hhcmxvdHRlOnJlYWxfZXN0YXRlOnBhcmVudHM6ZmRhZjExNTEtZTUwOS0xMWViLTk1NGItMDA1MDU2ODFjYmE3</t>
  </si>
  <si>
    <t xml:space="preserve">2123 US Hwy 19</t>
  </si>
  <si>
    <t xml:space="preserve">Holiday</t>
  </si>
  <si>
    <t xml:space="preserve">VP2123</t>
  </si>
  <si>
    <t xml:space="preserve">30-26-16-0010-06000-0030</t>
  </si>
  <si>
    <t xml:space="preserve">Pasco County</t>
  </si>
  <si>
    <t xml:space="preserve">https://county-taxes.net/fl-pasco/property-tax/cGFzY286cmVhbF9lc3RhdGU6cGFyZW50czpiYTM1MjBmMS1lMzY4LTExZWItOGVkMi0wMDUwNTY4MWFmMWU=</t>
  </si>
  <si>
    <t xml:space="preserve">13175 Walsingham Rd</t>
  </si>
  <si>
    <t xml:space="preserve">Largo</t>
  </si>
  <si>
    <t xml:space="preserve">VP13175</t>
  </si>
  <si>
    <t xml:space="preserve">08-30-15-00000-340-0400</t>
  </si>
  <si>
    <t xml:space="preserve">Pinellas County</t>
  </si>
  <si>
    <t xml:space="preserve">https://county-taxes.net/pinellas/property-tax/cGluZWxsYXM6cmVhbF9lc3RhdGU6cGFyZW50czpiYTYyMzFiZC1lMzY4LTExZWItOTRkMS0wMDUwNTY4MTUwMjg=</t>
  </si>
  <si>
    <t xml:space="preserve">12396 W. Sunrise Blvd.</t>
  </si>
  <si>
    <t xml:space="preserve">Plantation</t>
  </si>
  <si>
    <t xml:space="preserve">VP12396</t>
  </si>
  <si>
    <t xml:space="preserve"> </t>
  </si>
  <si>
    <t xml:space="preserve">https://county-taxes.net/broward/property-tax/YnJvd2FyZDpyZWFsX2VzdGF0ZTpwYXJlbnRzOjAxMDNkNzlhLWU1MGEtMTFlYi1iYTM4LTAwNTA1NjgxOTMzNA==</t>
  </si>
  <si>
    <t xml:space="preserve">2025-12-25</t>
  </si>
  <si>
    <t xml:space="preserve">https://example.com/x/property-70</t>
  </si>
  <si>
    <t xml:space="preserve">4000 20th St</t>
  </si>
  <si>
    <t xml:space="preserve">Vero Beach</t>
  </si>
  <si>
    <t xml:space="preserve">VP4000</t>
  </si>
  <si>
    <t xml:space="preserve">33-39-03-00007-0020-00002/0</t>
  </si>
  <si>
    <t xml:space="preserve">Synovus</t>
  </si>
  <si>
    <t xml:space="preserve">Indian River County</t>
  </si>
  <si>
    <t xml:space="preserve">https://county-taxes.net/indianriver/property-tax/aW5kaWFucml2ZXI6cmVhbF9lc3RhdGU6cGFyZW50czpmNDJjMWJhOC1lNTA5LTExZWItOTQ2Ny0wMDUwNTY4MTg3MTA=</t>
  </si>
  <si>
    <t xml:space="preserve">1300 Palm Coast Pkwy SW</t>
  </si>
  <si>
    <t xml:space="preserve">Palm Coast</t>
  </si>
  <si>
    <t xml:space="preserve">VP1300</t>
  </si>
  <si>
    <t xml:space="preserve">0711317025000A00020</t>
  </si>
  <si>
    <t xml:space="preserve">TD Ameritrade</t>
  </si>
  <si>
    <t xml:space="preserve">Flagler County</t>
  </si>
  <si>
    <t xml:space="preserve">https://county-taxes.net/fl-flagler/property-tax/ZmxhZ2xlcjpyZWFsX2VzdGF0ZTpwYXJlbnRzOmY0MDMyY2JlLWU1MDktMTFlYi05NDY3LTAwNTA1NjgxODcxMA==</t>
  </si>
  <si>
    <t xml:space="preserve">10050 Stirling Rd.</t>
  </si>
  <si>
    <t xml:space="preserve">Cooper City</t>
  </si>
  <si>
    <t xml:space="preserve">TP10050</t>
  </si>
  <si>
    <t xml:space="preserve">514105-08-0011</t>
  </si>
  <si>
    <t xml:space="preserve">(954) 831-4000</t>
  </si>
  <si>
    <t xml:space="preserve">https://broward.county-taxes.com/public/search/property_tax?action_location=Landing+Page</t>
  </si>
  <si>
    <t xml:space="preserve">21100 S. Dixie Hwy</t>
  </si>
  <si>
    <t xml:space="preserve">Miami</t>
  </si>
  <si>
    <t xml:space="preserve">TP21100</t>
  </si>
  <si>
    <t xml:space="preserve">30-6007-000-0340</t>
  </si>
  <si>
    <t xml:space="preserve">Miami-Dade County</t>
  </si>
  <si>
    <t xml:space="preserve">(305) 270-4916</t>
  </si>
  <si>
    <t xml:space="preserve">https://miamidade.county-taxes.com/public</t>
  </si>
  <si>
    <t xml:space="preserve">9980 SW 8th St</t>
  </si>
  <si>
    <t xml:space="preserve">TP9980</t>
  </si>
  <si>
    <t xml:space="preserve">30-4008-000-0015</t>
  </si>
  <si>
    <t xml:space="preserve">3695 NW 167 St</t>
  </si>
  <si>
    <t xml:space="preserve">Miami Gardens</t>
  </si>
  <si>
    <t xml:space="preserve">TP3695</t>
  </si>
  <si>
    <t xml:space="preserve">34-2109-001-0410</t>
  </si>
  <si>
    <t xml:space="preserve">2025-11-28</t>
  </si>
  <si>
    <t xml:space="preserve">2026-12-23</t>
  </si>
  <si>
    <t xml:space="preserve">3701 NW 167 Street</t>
  </si>
  <si>
    <t xml:space="preserve">TP3701</t>
  </si>
  <si>
    <t xml:space="preserve">34-2108-004-0151</t>
  </si>
  <si>
    <t xml:space="preserve">https://example.com/x/property-77</t>
  </si>
  <si>
    <t xml:space="preserve">https://example.com/y/property-77</t>
  </si>
  <si>
    <t xml:space="preserve">252 Route 130</t>
  </si>
  <si>
    <t xml:space="preserve">Bordentown</t>
  </si>
  <si>
    <t xml:space="preserve">SH252</t>
  </si>
  <si>
    <t xml:space="preserve">n/a</t>
  </si>
  <si>
    <t xml:space="preserve">https://example.com/w/property-78</t>
  </si>
  <si>
    <t xml:space="preserve">4012 Atlantic Brigantine Blvd</t>
  </si>
  <si>
    <t xml:space="preserve">Brigantine</t>
  </si>
  <si>
    <t xml:space="preserve">SH4012</t>
  </si>
  <si>
    <t xml:space="preserve">https://example.com/w/property-79</t>
  </si>
  <si>
    <t xml:space="preserve">2361 Admiral Wilson Blvd.</t>
  </si>
  <si>
    <t xml:space="preserve">Camden</t>
  </si>
  <si>
    <t xml:space="preserve">SH2361</t>
  </si>
  <si>
    <t xml:space="preserve">2025-12-15</t>
  </si>
  <si>
    <t xml:space="preserve">https://example.com/w/property-80</t>
  </si>
  <si>
    <t xml:space="preserve">2401 New Road</t>
  </si>
  <si>
    <t xml:space="preserve">Northfield</t>
  </si>
  <si>
    <t xml:space="preserve">SH2401</t>
  </si>
  <si>
    <t xml:space="preserve">https://example.com/w/property-81</t>
  </si>
  <si>
    <t xml:space="preserve">1100 Berlin Road (Route 561)</t>
  </si>
  <si>
    <t xml:space="preserve">Voorhees</t>
  </si>
  <si>
    <t xml:space="preserve">SH1100</t>
  </si>
  <si>
    <t xml:space="preserve">https://example.com/w/property-82</t>
  </si>
  <si>
    <t xml:space="preserve">1058 Delsea Drive (Route 47)</t>
  </si>
  <si>
    <t xml:space="preserve">Westville</t>
  </si>
  <si>
    <t xml:space="preserve">SH1058</t>
  </si>
  <si>
    <t xml:space="preserve">https://example.com/w/property-83</t>
  </si>
</sst>
</file>

<file path=xl/styles.xml><?xml version="1.0" encoding="utf-8"?>
<styleSheet xmlns="http://schemas.openxmlformats.org/spreadsheetml/2006/main">
  <numFmts count="9">
    <numFmt numFmtId="164" formatCode="General"/>
    <numFmt numFmtId="165" formatCode="m/d/yyyy"/>
    <numFmt numFmtId="166" formatCode="\$#,##0;&quot;($&quot;#,##0\);\-"/>
    <numFmt numFmtId="167" formatCode="yyyy\-mm\-dd"/>
    <numFmt numFmtId="168" formatCode="0.0%;\-0.0%;\-"/>
    <numFmt numFmtId="169" formatCode="@"/>
    <numFmt numFmtId="170" formatCode="0%"/>
    <numFmt numFmtId="171" formatCode="0.0%"/>
    <numFmt numFmtId="172" formatCode="\$#,##0"/>
  </numFmts>
  <fonts count="13">
    <font>
      <sz val="11"/>
      <color theme="1"/>
      <name val="Aptos Narrow"/>
      <family val="2"/>
      <charset val="1"/>
    </font>
    <font>
      <sz val="10"/>
      <name val="Arial"/>
      <family val="0"/>
    </font>
    <font>
      <sz val="10"/>
      <name val="Arial"/>
      <family val="0"/>
    </font>
    <font>
      <sz val="10"/>
      <name val="Arial"/>
      <family val="0"/>
    </font>
    <font>
      <b val="true"/>
      <sz val="16"/>
      <name val="Aptos Narrow"/>
      <family val="0"/>
      <charset val="1"/>
    </font>
    <font>
      <b val="true"/>
      <sz val="11"/>
      <name val="Aptos Narrow"/>
      <family val="0"/>
      <charset val="1"/>
    </font>
    <font>
      <sz val="11"/>
      <name val="Aptos Narrow"/>
      <family val="0"/>
      <charset val="1"/>
    </font>
    <font>
      <b val="true"/>
      <sz val="12"/>
      <name val="Aptos Narrow"/>
      <family val="0"/>
      <charset val="1"/>
    </font>
    <font>
      <b val="true"/>
      <sz val="11"/>
      <color theme="1"/>
      <name val="Aptos Narrow"/>
      <family val="2"/>
      <charset val="1"/>
    </font>
    <font>
      <b val="true"/>
      <sz val="11"/>
      <color rgb="FFFFFFFF"/>
      <name val="Aptos Narrow"/>
      <family val="0"/>
      <charset val="1"/>
    </font>
    <font>
      <u val="single"/>
      <sz val="11"/>
      <color theme="10"/>
      <name val="Aptos Narrow"/>
      <family val="2"/>
      <charset val="1"/>
    </font>
    <font>
      <sz val="11"/>
      <name val="Aptos Narrow"/>
      <family val="2"/>
      <charset val="1"/>
    </font>
    <font>
      <sz val="10"/>
      <name val="Arial"/>
      <family val="2"/>
    </font>
  </fonts>
  <fills count="6">
    <fill>
      <patternFill patternType="none"/>
    </fill>
    <fill>
      <patternFill patternType="gray125"/>
    </fill>
    <fill>
      <patternFill patternType="solid">
        <fgColor theme="0"/>
        <bgColor rgb="FFFFF8DC"/>
      </patternFill>
    </fill>
    <fill>
      <patternFill patternType="solid">
        <fgColor rgb="FF16384F"/>
        <bgColor rgb="FF333333"/>
      </patternFill>
    </fill>
    <fill>
      <patternFill patternType="solid">
        <fgColor theme="0" tint="-0.15"/>
        <bgColor rgb="FFC0C0C0"/>
      </patternFill>
    </fill>
    <fill>
      <patternFill patternType="solid">
        <fgColor rgb="FFFFF8DC"/>
        <bgColor rgb="FFFFFFFF"/>
      </patternFill>
    </fill>
  </fills>
  <borders count="13">
    <border diagonalUp="false" diagonalDown="false">
      <left/>
      <right/>
      <top/>
      <bottom/>
      <diagonal/>
    </border>
    <border diagonalUp="false" diagonalDown="false">
      <left style="thin"/>
      <right/>
      <top/>
      <bottom/>
      <diagonal/>
    </border>
    <border diagonalUp="false" diagonalDown="false">
      <left/>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center" vertical="bottom" textRotation="0" wrapText="false" indent="0" shrinkToFit="false"/>
      <protection locked="true" hidden="false"/>
    </xf>
    <xf numFmtId="165" fontId="0" fillId="2" borderId="1" xfId="0" applyFont="true" applyBorder="true" applyAlignment="true" applyProtection="false">
      <alignment horizontal="center"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5" fontId="0" fillId="2" borderId="2"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left" vertical="bottom" textRotation="0" wrapText="false" indent="0" shrinkToFit="false"/>
      <protection locked="true" hidden="false"/>
    </xf>
    <xf numFmtId="165" fontId="0" fillId="2" borderId="3" xfId="0" applyFont="true" applyBorder="true" applyAlignment="true" applyProtection="false">
      <alignment horizontal="center" vertical="bottom" textRotation="0" wrapText="false" indent="0" shrinkToFit="false"/>
      <protection locked="true" hidden="false"/>
    </xf>
    <xf numFmtId="165" fontId="0" fillId="2" borderId="4" xfId="0" applyFont="true" applyBorder="true" applyAlignment="true" applyProtection="false">
      <alignment horizontal="center" vertical="bottom" textRotation="0" wrapText="false" indent="0" shrinkToFit="false"/>
      <protection locked="true" hidden="false"/>
    </xf>
    <xf numFmtId="165" fontId="0" fillId="2" borderId="5" xfId="0" applyFont="true" applyBorder="true" applyAlignment="true" applyProtection="false">
      <alignment horizontal="center" vertical="bottom" textRotation="0" wrapText="false" indent="0" shrinkToFit="false"/>
      <protection locked="true" hidden="false"/>
    </xf>
    <xf numFmtId="164" fontId="8" fillId="2" borderId="6" xfId="0" applyFont="true" applyBorder="true" applyAlignment="true" applyProtection="false">
      <alignment horizontal="center" vertical="bottom" textRotation="0" wrapText="false" indent="0" shrinkToFit="false"/>
      <protection locked="true" hidden="false"/>
    </xf>
    <xf numFmtId="164" fontId="8" fillId="2" borderId="7" xfId="0" applyFont="true" applyBorder="true" applyAlignment="false" applyProtection="false">
      <alignment horizontal="general" vertical="bottom" textRotation="0" wrapText="false" indent="0" shrinkToFit="false"/>
      <protection locked="true" hidden="false"/>
    </xf>
    <xf numFmtId="164" fontId="8" fillId="2" borderId="8" xfId="0" applyFont="true" applyBorder="true" applyAlignment="false" applyProtection="false">
      <alignment horizontal="general" vertical="bottom" textRotation="0" wrapText="false" indent="0" shrinkToFit="false"/>
      <protection locked="true" hidden="false"/>
    </xf>
    <xf numFmtId="164" fontId="8" fillId="2" borderId="9"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8" fillId="4" borderId="7" xfId="0" applyFont="true" applyBorder="true" applyAlignment="true" applyProtection="false">
      <alignment horizontal="center" vertical="bottom" textRotation="0" wrapText="false" indent="0" shrinkToFit="false"/>
      <protection locked="true" hidden="false"/>
    </xf>
    <xf numFmtId="164" fontId="8" fillId="4" borderId="8" xfId="0" applyFont="true" applyBorder="true" applyAlignment="true" applyProtection="false">
      <alignment horizontal="center" vertical="bottom" textRotation="0" wrapText="false" indent="0" shrinkToFit="false"/>
      <protection locked="true" hidden="false"/>
    </xf>
    <xf numFmtId="164" fontId="8" fillId="4" borderId="9" xfId="0" applyFont="true" applyBorder="true" applyAlignment="true" applyProtection="false">
      <alignment horizontal="center" vertical="bottom" textRotation="0" wrapText="false" indent="0" shrinkToFit="false"/>
      <protection locked="true" hidden="false"/>
    </xf>
    <xf numFmtId="164" fontId="8" fillId="4" borderId="3" xfId="0" applyFont="true" applyBorder="true" applyAlignment="true" applyProtection="false">
      <alignment horizontal="center" vertical="center" textRotation="0" wrapText="false" indent="0" shrinkToFit="false"/>
      <protection locked="true" hidden="false"/>
    </xf>
    <xf numFmtId="164" fontId="8" fillId="4" borderId="4" xfId="0" applyFont="true" applyBorder="true" applyAlignment="true" applyProtection="false">
      <alignment horizontal="center" vertical="center" textRotation="0" wrapText="false" indent="0" shrinkToFit="false"/>
      <protection locked="true" hidden="false"/>
    </xf>
    <xf numFmtId="165" fontId="8" fillId="4" borderId="3" xfId="0" applyFont="true" applyBorder="true" applyAlignment="true" applyProtection="false">
      <alignment horizontal="center" vertical="center" textRotation="0" wrapText="false" indent="0" shrinkToFit="false"/>
      <protection locked="true" hidden="false"/>
    </xf>
    <xf numFmtId="165" fontId="8" fillId="4" borderId="4" xfId="0" applyFont="true" applyBorder="true" applyAlignment="true" applyProtection="false">
      <alignment horizontal="center" vertical="center" textRotation="0" wrapText="false" indent="0" shrinkToFit="false"/>
      <protection locked="true" hidden="false"/>
    </xf>
    <xf numFmtId="165" fontId="8" fillId="4" borderId="5"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left"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0" fillId="2" borderId="3" xfId="0" applyFont="true" applyBorder="true" applyAlignment="true" applyProtection="false">
      <alignment horizontal="center" vertical="bottom" textRotation="0" wrapText="false" indent="0" shrinkToFit="false"/>
      <protection locked="true" hidden="false"/>
    </xf>
    <xf numFmtId="164" fontId="0" fillId="2" borderId="4" xfId="0" applyFont="true" applyBorder="true" applyAlignment="true" applyProtection="false">
      <alignment horizontal="center" vertical="bottom" textRotation="0" wrapText="false" indent="0" shrinkToFit="false"/>
      <protection locked="true" hidden="false"/>
    </xf>
    <xf numFmtId="164" fontId="10" fillId="2" borderId="4" xfId="20" applyFont="true" applyBorder="true" applyAlignment="true" applyProtection="false">
      <alignment horizontal="center" vertical="bottom" textRotation="0" wrapText="fals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7" fontId="6"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10" fillId="2" borderId="0" xfId="20" applyFont="true" applyBorder="false" applyAlignment="true" applyProtection="false">
      <alignment horizontal="center" vertical="bottom" textRotation="0" wrapText="false" indent="0" shrinkToFit="false"/>
      <protection locked="true" hidden="false"/>
    </xf>
    <xf numFmtId="165" fontId="11" fillId="2"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9" fontId="0"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1" fontId="6" fillId="5" borderId="0" xfId="19" applyFont="true" applyBorder="false" applyAlignment="false" applyProtection="false">
      <alignment horizontal="general" vertical="bottom" textRotation="0" wrapText="false" indent="0" shrinkToFit="false"/>
      <protection locked="true" hidden="false"/>
    </xf>
    <xf numFmtId="164" fontId="0" fillId="2" borderId="10" xfId="0" applyFont="true" applyBorder="true" applyAlignment="true" applyProtection="false">
      <alignment horizontal="left" vertical="bottom" textRotation="0" wrapText="false" indent="0" shrinkToFit="false"/>
      <protection locked="true" hidden="false"/>
    </xf>
    <xf numFmtId="164" fontId="0" fillId="2" borderId="11" xfId="0" applyFont="true" applyBorder="true" applyAlignment="true" applyProtection="false">
      <alignment horizontal="center" vertical="bottom" textRotation="0" wrapText="false" indent="0" shrinkToFit="false"/>
      <protection locked="true" hidden="false"/>
    </xf>
    <xf numFmtId="164" fontId="0" fillId="2" borderId="12" xfId="0" applyFont="true" applyBorder="true" applyAlignment="true" applyProtection="false">
      <alignment horizontal="center" vertical="bottom" textRotation="0" wrapText="false" indent="0" shrinkToFit="false"/>
      <protection locked="true" hidden="false"/>
    </xf>
    <xf numFmtId="164" fontId="0" fillId="2" borderId="10" xfId="0" applyFont="true" applyBorder="true" applyAlignment="true" applyProtection="false">
      <alignment horizontal="center" vertical="bottom" textRotation="0" wrapText="false" indent="0" shrinkToFit="false"/>
      <protection locked="true" hidden="false"/>
    </xf>
    <xf numFmtId="165" fontId="0" fillId="2" borderId="10" xfId="0" applyFont="true" applyBorder="true" applyAlignment="true" applyProtection="false">
      <alignment horizontal="center" vertical="bottom" textRotation="0" wrapText="false" indent="0" shrinkToFit="false"/>
      <protection locked="true" hidden="false"/>
    </xf>
    <xf numFmtId="165" fontId="0" fillId="2" borderId="11" xfId="0" applyFont="true" applyBorder="true" applyAlignment="true" applyProtection="false">
      <alignment horizontal="center" vertical="bottom" textRotation="0" wrapText="false" indent="0" shrinkToFit="false"/>
      <protection locked="true" hidden="false"/>
    </xf>
    <xf numFmtId="165" fontId="0" fillId="2" borderId="12" xfId="0" applyFont="true" applyBorder="true" applyAlignment="true" applyProtection="false">
      <alignment horizontal="center" vertical="bottom" textRotation="0" wrapText="false" indent="0" shrinkToFit="false"/>
      <protection locked="true" hidden="false"/>
    </xf>
    <xf numFmtId="172" fontId="0" fillId="2"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1">
    <dxf>
      <fill>
        <patternFill patternType="solid">
          <fgColor rgb="FFD9D9D9"/>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467886"/>
          <bgColor rgb="FF000000"/>
        </patternFill>
      </fill>
    </dxf>
    <dxf>
      <fill>
        <patternFill>
          <bgColor theme="0" tint="-0.15"/>
        </patternFill>
      </fill>
    </dxf>
    <dxf>
      <font>
        <name val="Aptos Narrow"/>
        <charset val="1"/>
        <family val="2"/>
        <color rgb="FF000000"/>
        <sz val="11"/>
      </font>
      <alignment horizontal="general" vertical="bottom" textRotation="0" wrapText="false" indent="0" shrinkToFit="false"/>
    </dxf>
    <dxf>
      <font>
        <name val="Aptos Narrow"/>
        <charset val="1"/>
        <family val="0"/>
        <b val="1"/>
        <color rgb="FFFFFFFF"/>
        <sz val="11"/>
      </font>
      <fill>
        <patternFill>
          <bgColor rgb="FFDC2626"/>
        </patternFill>
      </fill>
    </dxf>
    <dxf>
      <font>
        <name val="Aptos Narrow"/>
        <charset val="1"/>
        <family val="0"/>
        <b val="1"/>
        <color rgb="FFFFFFFF"/>
        <sz val="11"/>
      </font>
      <fill>
        <patternFill>
          <bgColor rgb="FFB45309"/>
        </patternFill>
      </fill>
    </dxf>
    <dxf>
      <font>
        <name val="Aptos Narrow"/>
        <charset val="1"/>
        <family val="0"/>
        <b val="1"/>
        <color rgb="FFFFFFFF"/>
        <sz val="11"/>
      </font>
      <fill>
        <patternFill>
          <bgColor rgb="FFF5C518"/>
        </patternFill>
      </fill>
    </dxf>
    <dxf>
      <font>
        <name val="Aptos Narrow"/>
        <charset val="1"/>
        <family val="0"/>
        <b val="1"/>
        <color rgb="FFFFFFFF"/>
        <sz val="11"/>
      </font>
      <fill>
        <patternFill>
          <bgColor rgb="FF15803D"/>
        </patternFill>
      </fill>
    </dxf>
  </dxfs>
  <colors>
    <indexedColors>
      <rgbColor rgb="FF000000"/>
      <rgbColor rgb="FFFFFFFF"/>
      <rgbColor rgb="FFDC2626"/>
      <rgbColor rgb="FF00FF00"/>
      <rgbColor rgb="FF0000FF"/>
      <rgbColor rgb="FFFFFF00"/>
      <rgbColor rgb="FFFF00FF"/>
      <rgbColor rgb="FF00FFFF"/>
      <rgbColor rgb="FF800000"/>
      <rgbColor rgb="FF15803D"/>
      <rgbColor rgb="FF000080"/>
      <rgbColor rgb="FF808000"/>
      <rgbColor rgb="FF800080"/>
      <rgbColor rgb="FF008080"/>
      <rgbColor rgb="FFC0C0C0"/>
      <rgbColor rgb="FF808080"/>
      <rgbColor rgb="FF9999FF"/>
      <rgbColor rgb="FF993366"/>
      <rgbColor rgb="FFFFF8D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5C518"/>
      <rgbColor rgb="FFFF9900"/>
      <rgbColor rgb="FFFF6600"/>
      <rgbColor rgb="FF467886"/>
      <rgbColor rgb="FF969696"/>
      <rgbColor rgb="FF16384F"/>
      <rgbColor rgb="FF339966"/>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ounty-taxes.net/fl-clay/property-tax/Y2xheTpyZWFsX2VzdGF0ZTpwYXJlbnRzOjM2OTQwMzc0LTM0N2MtMTFlZC05NzQ1LThlM2ZlZjFhN2Q3MQ==" TargetMode="External"/><Relationship Id="rId3" Type="http://schemas.openxmlformats.org/officeDocument/2006/relationships/hyperlink" Target="https://county-taxes.net/fl-clay/fl-clay/property-tax/Y2xheTpyZWFsX2VzdGF0ZTpwYXJlbnRzOjUwMWFhMGI0LTM0N2MtMTFlZC1hZmNhLTMzN2E4MWM5MGY1MA==" TargetMode="External"/><Relationship Id="rId4" Type="http://schemas.openxmlformats.org/officeDocument/2006/relationships/hyperlink" Target="https://ptaxweb.putnamtax.com/ptaxweb/editPropertySearch2.action" TargetMode="External"/><Relationship Id="rId5" Type="http://schemas.openxmlformats.org/officeDocument/2006/relationships/hyperlink" Target="https://www.stjohnstax.us/PropertyDetail?p=173800-0030&amp;y=2024&amp;b=127955.0000" TargetMode="External"/><Relationship Id="rId6" Type="http://schemas.openxmlformats.org/officeDocument/2006/relationships/hyperlink" Target="https://pbctax.publicaccessnow.com/PropertyTax/Account/BillDetail.aspx?p=74-43-43-21-01-043-0050&amp;t=Real%20Property&amp;a=1418360&amp;b=26795046&amp;y=2024&amp;n=101606030" TargetMode="External"/><Relationship Id="rId7" Type="http://schemas.openxmlformats.org/officeDocument/2006/relationships/hyperlink" Target="https://pinellastaxcollector.gov/property-tax/" TargetMode="External"/><Relationship Id="rId8" Type="http://schemas.openxmlformats.org/officeDocument/2006/relationships/hyperlink" Target="http://www.broward.org/" TargetMode="External"/><Relationship Id="rId9" Type="http://schemas.openxmlformats.org/officeDocument/2006/relationships/hyperlink" Target="https://county-taxes.net/fl-collier/property-tax/Y29sbGllcjpyZWFsX2VzdGF0ZTpwYXJlbnRzOmQ0MzUyMmQ5LWU1MDgtMTFlYi1hODBmLTAwNTA1NjgxYTJiNw==" TargetMode="External"/><Relationship Id="rId10" Type="http://schemas.openxmlformats.org/officeDocument/2006/relationships/hyperlink" Target="https://www.pbctax.com/real-estate-property-tax/" TargetMode="External"/><Relationship Id="rId11" Type="http://schemas.openxmlformats.org/officeDocument/2006/relationships/hyperlink" Target="https://common2.mptsweb.com/MBC/lake/tax/main/026301280000/2024/0000" TargetMode="External"/><Relationship Id="rId12" Type="http://schemas.openxmlformats.org/officeDocument/2006/relationships/hyperlink" Target="https://parcelinquirytreasurer.cochise.az.gov/Parcel/PaymentHistory?parcelNumber=40909081D0&amp;taxYear=2024" TargetMode="External"/><Relationship Id="rId13" Type="http://schemas.openxmlformats.org/officeDocument/2006/relationships/hyperlink" Target="http://www.to.pima.gov/" TargetMode="External"/><Relationship Id="rId14" Type="http://schemas.openxmlformats.org/officeDocument/2006/relationships/hyperlink" Target="https://www.bernco.gov/treasurer/paying-your-property-taxes-overview/" TargetMode="External"/><Relationship Id="rId15" Type="http://schemas.openxmlformats.org/officeDocument/2006/relationships/hyperlink" Target="https://www.hennepin.us/propertytaxpayments/" TargetMode="External"/><Relationship Id="rId16" Type="http://schemas.openxmlformats.org/officeDocument/2006/relationships/hyperlink" Target="https://tax.egov.basgov.com/riverhead/TaxBill/BillDetailsPaymentOptions?TaxBillID=93938c45-39ac-ef11-9968-509a4c486007" TargetMode="External"/><Relationship Id="rId17" Type="http://schemas.openxmlformats.org/officeDocument/2006/relationships/hyperlink" Target="https://tax.egov.basgov.com/riverhead/TaxBill/BillDetailsPaymentOptions?TaxBillID=93938c45-39ac-ef11-9968-509a4c486007" TargetMode="External"/><Relationship Id="rId18" Type="http://schemas.openxmlformats.org/officeDocument/2006/relationships/hyperlink" Target="https://chesterfield.virginiainteractive.org/Treasurer/Main" TargetMode="External"/><Relationship Id="rId19" Type="http://schemas.openxmlformats.org/officeDocument/2006/relationships/hyperlink" Target="https://pay.vbepay.com/Citizen/ViewAccount/364817" TargetMode="External"/><Relationship Id="rId20" Type="http://schemas.openxmlformats.org/officeDocument/2006/relationships/hyperlink" Target="https://publicaccess.dekalbtax.org/Datalets/Datalet.aspx?sIndex=2&amp;idx=1" TargetMode="External"/><Relationship Id="rId21" Type="http://schemas.openxmlformats.org/officeDocument/2006/relationships/hyperlink" Target="https://muscogeecountyga.governmentwindow.com/select_bill.html?search_mode=search2&amp;tax_year=2018&amp;name=&amp;map_code=085+008+002&amp;address=" TargetMode="External"/><Relationship Id="rId22" Type="http://schemas.openxmlformats.org/officeDocument/2006/relationships/hyperlink" Target="https://www.fultoncountytaxes.org/propertytax/summary/17%20000600030484" TargetMode="External"/><Relationship Id="rId23" Type="http://schemas.openxmlformats.org/officeDocument/2006/relationships/hyperlink" Target="https://wipp.edmundsassoc.com/Wipp/?wippid=0417" TargetMode="External"/><Relationship Id="rId24" Type="http://schemas.openxmlformats.org/officeDocument/2006/relationships/hyperlink" Target="http://www.solanocounty.com/" TargetMode="External"/><Relationship Id="rId25" Type="http://schemas.openxmlformats.org/officeDocument/2006/relationships/hyperlink" Target="http://www.solanocounty.com/" TargetMode="External"/><Relationship Id="rId26" Type="http://schemas.openxmlformats.org/officeDocument/2006/relationships/hyperlink" Target="http://www.solanocounty.com/" TargetMode="External"/><Relationship Id="rId27" Type="http://schemas.openxmlformats.org/officeDocument/2006/relationships/hyperlink" Target="https://common3.mptsweb.com/MBC/eldorado/tax/main/327130040000/2024/0000" TargetMode="External"/><Relationship Id="rId28" Type="http://schemas.openxmlformats.org/officeDocument/2006/relationships/hyperlink" Target="https://common3.mptsweb.com/MBC/placer/tax/main/048520006000/2024/0000" TargetMode="External"/><Relationship Id="rId29" Type="http://schemas.openxmlformats.org/officeDocument/2006/relationships/hyperlink" Target="https://common3.mptsweb.com/MBC/tuolumne/tax/main/001201010000/2024/0000" TargetMode="External"/><Relationship Id="rId30" Type="http://schemas.openxmlformats.org/officeDocument/2006/relationships/hyperlink" Target="http://www.rpso.org/" TargetMode="External"/><Relationship Id="rId31" Type="http://schemas.openxmlformats.org/officeDocument/2006/relationships/hyperlink" Target="https://snstaxpayments.com/ebr" TargetMode="External"/><Relationship Id="rId32" Type="http://schemas.openxmlformats.org/officeDocument/2006/relationships/hyperlink" Target="https://snstaxpayments.com/calcasieu" TargetMode="External"/><Relationship Id="rId33" Type="http://schemas.openxmlformats.org/officeDocument/2006/relationships/hyperlink" Target="https://snstaxpayments.com/stlandry" TargetMode="External"/><Relationship Id="rId34" Type="http://schemas.openxmlformats.org/officeDocument/2006/relationships/hyperlink" Target="https://www.bgky.org/property-tax-search/invoices/156635" TargetMode="External"/><Relationship Id="rId35" Type="http://schemas.openxmlformats.org/officeDocument/2006/relationships/hyperlink" Target="https://www.bgky.org/property-tax-search/invoices/156635" TargetMode="External"/><Relationship Id="rId36" Type="http://schemas.openxmlformats.org/officeDocument/2006/relationships/hyperlink" Target="https://services.wake.gov/ptax/main/billing/acctsummary.aspx?search=acct&amp;yrs=2&amp;id=229546" TargetMode="External"/><Relationship Id="rId37" Type="http://schemas.openxmlformats.org/officeDocument/2006/relationships/hyperlink" Target="https://bcpwa.ncptscloud.com/guilfordtax/BillDetails.aspx?BillPk=11242368" TargetMode="External"/><Relationship Id="rId38" Type="http://schemas.openxmlformats.org/officeDocument/2006/relationships/hyperlink" Target="http://www.co.cumberland.nc.us/tax/payments/" TargetMode="External"/><Relationship Id="rId39" Type="http://schemas.openxmlformats.org/officeDocument/2006/relationships/hyperlink" Target="https://secure.webtaxpay.com/?county=franklin&amp;state=NC" TargetMode="External"/><Relationship Id="rId40" Type="http://schemas.openxmlformats.org/officeDocument/2006/relationships/hyperlink" Target="http://taxweb.guilfordcountync.gov/PublicWebAccess/" TargetMode="External"/><Relationship Id="rId41" Type="http://schemas.openxmlformats.org/officeDocument/2006/relationships/hyperlink" Target="http://taxweb.guilfordcountync.gov/PublicWebAccess/" TargetMode="External"/><Relationship Id="rId42" Type="http://schemas.openxmlformats.org/officeDocument/2006/relationships/hyperlink" Target="http://www.forsyth.cc/tax/taxbill.aspx" TargetMode="External"/><Relationship Id="rId43" Type="http://schemas.openxmlformats.org/officeDocument/2006/relationships/hyperlink" Target="http://www.wakegov.com/tax/Pages/default.aspx" TargetMode="External"/><Relationship Id="rId44" Type="http://schemas.openxmlformats.org/officeDocument/2006/relationships/hyperlink" Target="https://nashcountync.gov/498/Tax-Payments" TargetMode="External"/><Relationship Id="rId45" Type="http://schemas.openxmlformats.org/officeDocument/2006/relationships/hyperlink" Target="http://www.forsyth.cc/tax/taxbill.aspx" TargetMode="External"/><Relationship Id="rId46" Type="http://schemas.openxmlformats.org/officeDocument/2006/relationships/hyperlink" Target="https://publicaccess.claytoncountyga.gov/search/CommonSearch.aspx?mode=REALPROP" TargetMode="External"/><Relationship Id="rId47" Type="http://schemas.openxmlformats.org/officeDocument/2006/relationships/hyperlink" Target="https://publicaccess.claytoncountyga.gov/search/CommonSearch.aspx?mode=REALPROP" TargetMode="External"/><Relationship Id="rId48" Type="http://schemas.openxmlformats.org/officeDocument/2006/relationships/hyperlink" Target="http://www.taylor-cad.org/" TargetMode="External"/><Relationship Id="rId49" Type="http://schemas.openxmlformats.org/officeDocument/2006/relationships/hyperlink" Target="http://iswdataclient.azurewebsites.net/webSearchID.aspx?dbkey=midlandcad" TargetMode="External"/><Relationship Id="rId50" Type="http://schemas.openxmlformats.org/officeDocument/2006/relationships/hyperlink" Target="https://ascent.co.manitowoc.wi.us/LandRecords/PropertyListing/RealEstateTaxParcel" TargetMode="External"/><Relationship Id="rId51" Type="http://schemas.openxmlformats.org/officeDocument/2006/relationships/hyperlink" Target="https://esearch.hctax.info/Property/View/23748?year=2024&amp;ownerId=1385747" TargetMode="External"/><Relationship Id="rId52" Type="http://schemas.openxmlformats.org/officeDocument/2006/relationships/hyperlink" Target="https://taxweb.dentoncounty.gov/Accounts/AccountDetails?taxAccountNumber=204320DEN" TargetMode="External"/><Relationship Id="rId53" Type="http://schemas.openxmlformats.org/officeDocument/2006/relationships/hyperlink" Target="https://county-taxes.net/hillsborough/hillsborough/property-tax/aGlsbHNib3JvdWdoOnJlYWxfZXN0YXRlOnBhcmVudHM6ZjYxM2RkNGQtZTUwOS0xMWViLWFmNmMtMDA1MDU2ODFiMmNm/bills/b3f75606-85a3-11ef-b227-00505681f4ed" TargetMode="External"/><Relationship Id="rId54" Type="http://schemas.openxmlformats.org/officeDocument/2006/relationships/hyperlink" Target="https://county-taxes.net/charlotte/property-tax/Y2hhcmxvdHRlOnJlYWxfZXN0YXRlOnBhcmVudHM6ZmRhZjExNTEtZTUwOS0xMWViLTk1NGItMDA1MDU2ODFjYmE3" TargetMode="External"/><Relationship Id="rId55" Type="http://schemas.openxmlformats.org/officeDocument/2006/relationships/hyperlink" Target="https://county-taxes.net/fl-pasco/property-tax/cGFzY286cmVhbF9lc3RhdGU6cGFyZW50czpiYTM1MjBmMS1lMzY4LTExZWItOGVkMi0wMDUwNTY4MWFmMWU=" TargetMode="External"/><Relationship Id="rId56" Type="http://schemas.openxmlformats.org/officeDocument/2006/relationships/hyperlink" Target="https://county-taxes.net/pinellas/property-tax/cGluZWxsYXM6cmVhbF9lc3RhdGU6cGFyZW50czpiYTYyMzFiZC1lMzY4LTExZWItOTRkMS0wMDUwNTY4MTUwMjg=" TargetMode="External"/><Relationship Id="rId57" Type="http://schemas.openxmlformats.org/officeDocument/2006/relationships/hyperlink" Target="https://county-taxes.net/broward/property-tax/YnJvd2FyZDpyZWFsX2VzdGF0ZTpwYXJlbnRzOjAxMDNkNzlhLWU1MGEtMTFlYi1iYTM4LTAwNTA1NjgxOTMzNA==" TargetMode="External"/><Relationship Id="rId58" Type="http://schemas.openxmlformats.org/officeDocument/2006/relationships/hyperlink" Target="https://county-taxes.net/indianriver/property-tax/aW5kaWFucml2ZXI6cmVhbF9lc3RhdGU6cGFyZW50czpmNDJjMWJhOC1lNTA5LTExZWItOTQ2Ny0wMDUwNTY4MTg3MTA=" TargetMode="External"/><Relationship Id="rId59" Type="http://schemas.openxmlformats.org/officeDocument/2006/relationships/hyperlink" Target="https://county-taxes.net/fl-flagler/property-tax/ZmxhZ2xlcjpyZWFsX2VzdGF0ZTpwYXJlbnRzOmY0MDMyY2JlLWU1MDktMTFlYi05NDY3LTAwNTA1NjgxODcxMA==" TargetMode="External"/><Relationship Id="rId60" Type="http://schemas.openxmlformats.org/officeDocument/2006/relationships/hyperlink" Target="https://broward.county-taxes.com/public/search/property_tax?action_location=Landing+Page" TargetMode="External"/><Relationship Id="rId61" Type="http://schemas.openxmlformats.org/officeDocument/2006/relationships/hyperlink" Target="https://miamidade.county-taxes.com/public" TargetMode="External"/><Relationship Id="rId62" Type="http://schemas.openxmlformats.org/officeDocument/2006/relationships/hyperlink" Target="https://miamidade.county-taxes.com/public" TargetMode="External"/><Relationship Id="rId63" Type="http://schemas.openxmlformats.org/officeDocument/2006/relationships/drawing" Target="../drawings/drawing1.xml"/><Relationship Id="rId6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9.7" hidden="false" customHeight="false" outlineLevel="0" collapsed="false">
      <c r="A1" s="1" t="s">
        <v>0</v>
      </c>
    </row>
    <row r="2" customFormat="false" ht="31.5" hidden="false" customHeight="true" outlineLevel="0" collapsed="false">
      <c r="A2" s="2"/>
      <c r="B2" s="3"/>
    </row>
    <row r="3" customFormat="false" ht="15" hidden="false" customHeight="false" outlineLevel="0" collapsed="false">
      <c r="A3" s="4" t="s">
        <v>1</v>
      </c>
    </row>
    <row r="4" customFormat="false" ht="31.5" hidden="false" customHeight="true" outlineLevel="0" collapsed="false">
      <c r="A4" s="2"/>
      <c r="B4" s="3" t="s">
        <v>2</v>
      </c>
    </row>
    <row r="5" customFormat="false" ht="31.5" hidden="false" customHeight="true" outlineLevel="0" collapsed="false">
      <c r="A5" s="2"/>
      <c r="B5" s="3"/>
    </row>
    <row r="6" customFormat="false" ht="15" hidden="false" customHeight="false" outlineLevel="0" collapsed="false">
      <c r="A6" s="4" t="s">
        <v>3</v>
      </c>
    </row>
    <row r="7" customFormat="false" ht="31.5" hidden="false" customHeight="true" outlineLevel="0" collapsed="false">
      <c r="A7" s="2" t="s">
        <v>4</v>
      </c>
      <c r="B7" s="3" t="s">
        <v>5</v>
      </c>
    </row>
    <row r="8" customFormat="false" ht="31.5" hidden="false" customHeight="true" outlineLevel="0" collapsed="false">
      <c r="A8" s="2" t="s">
        <v>6</v>
      </c>
      <c r="B8" s="3" t="s">
        <v>7</v>
      </c>
    </row>
    <row r="9" customFormat="false" ht="31.5" hidden="false" customHeight="true" outlineLevel="0" collapsed="false">
      <c r="A9" s="2" t="s">
        <v>8</v>
      </c>
      <c r="B9" s="3" t="s">
        <v>9</v>
      </c>
    </row>
    <row r="10" customFormat="false" ht="31.5" hidden="false" customHeight="true" outlineLevel="0" collapsed="false">
      <c r="A10" s="2" t="s">
        <v>10</v>
      </c>
      <c r="B10" s="3" t="s">
        <v>11</v>
      </c>
    </row>
    <row r="11" customFormat="false" ht="31.5" hidden="false" customHeight="true" outlineLevel="0" collapsed="false">
      <c r="A11" s="2"/>
      <c r="B11" s="3"/>
    </row>
    <row r="12" customFormat="false" ht="15" hidden="false" customHeight="false" outlineLevel="0" collapsed="false">
      <c r="A12" s="4" t="s">
        <v>12</v>
      </c>
    </row>
    <row r="13" customFormat="false" ht="31.5" hidden="false" customHeight="true" outlineLevel="0" collapsed="false">
      <c r="A13" s="2" t="s">
        <v>13</v>
      </c>
      <c r="B13" s="3" t="s">
        <v>14</v>
      </c>
    </row>
    <row r="14" customFormat="false" ht="31.5" hidden="false" customHeight="true" outlineLevel="0" collapsed="false">
      <c r="A14" s="2" t="s">
        <v>15</v>
      </c>
      <c r="B14" s="3" t="s">
        <v>16</v>
      </c>
    </row>
    <row r="15" customFormat="false" ht="31.5" hidden="false" customHeight="true" outlineLevel="0" collapsed="false">
      <c r="A15" s="2" t="s">
        <v>17</v>
      </c>
      <c r="B15" s="3" t="s">
        <v>18</v>
      </c>
    </row>
    <row r="16" customFormat="false" ht="31.5" hidden="false" customHeight="true" outlineLevel="0" collapsed="false">
      <c r="A16" s="2" t="s">
        <v>19</v>
      </c>
      <c r="B16" s="3" t="s">
        <v>20</v>
      </c>
    </row>
    <row r="17" customFormat="false" ht="31.5" hidden="false" customHeight="true" outlineLevel="0" collapsed="false">
      <c r="A17" s="2" t="s">
        <v>21</v>
      </c>
      <c r="B17" s="3" t="s">
        <v>22</v>
      </c>
    </row>
    <row r="18" customFormat="false" ht="31.5" hidden="false" customHeight="true" outlineLevel="0" collapsed="false">
      <c r="A18" s="2" t="s">
        <v>23</v>
      </c>
      <c r="B18" s="3" t="s">
        <v>24</v>
      </c>
    </row>
    <row r="19" customFormat="false" ht="31.5" hidden="false" customHeight="true" outlineLevel="0" collapsed="false">
      <c r="A19" s="2" t="s">
        <v>25</v>
      </c>
      <c r="B19" s="3" t="s">
        <v>26</v>
      </c>
    </row>
    <row r="20" customFormat="false" ht="31.5" hidden="false" customHeight="true" outlineLevel="0" collapsed="false">
      <c r="A20" s="2"/>
      <c r="B20" s="3"/>
    </row>
    <row r="21" customFormat="false" ht="15" hidden="false" customHeight="false" outlineLevel="0" collapsed="false">
      <c r="A21" s="4" t="s">
        <v>27</v>
      </c>
    </row>
    <row r="22" customFormat="false" ht="31.5" hidden="false" customHeight="true" outlineLevel="0" collapsed="false">
      <c r="A22" s="2" t="s">
        <v>28</v>
      </c>
      <c r="B22" s="3" t="s">
        <v>29</v>
      </c>
    </row>
    <row r="23" customFormat="false" ht="31.5" hidden="false" customHeight="true" outlineLevel="0" collapsed="false">
      <c r="A23" s="2" t="s">
        <v>30</v>
      </c>
      <c r="B23" s="3" t="s">
        <v>31</v>
      </c>
    </row>
    <row r="24" customFormat="false" ht="31.5" hidden="false" customHeight="true" outlineLevel="0" collapsed="false">
      <c r="A24" s="2" t="s">
        <v>32</v>
      </c>
      <c r="B24" s="3" t="s">
        <v>33</v>
      </c>
    </row>
    <row r="25" customFormat="false" ht="31.5" hidden="false" customHeight="true" outlineLevel="0" collapsed="false">
      <c r="A25" s="2"/>
      <c r="B25" s="3"/>
    </row>
    <row r="26" customFormat="false" ht="15" hidden="false" customHeight="false" outlineLevel="0" collapsed="false">
      <c r="A26" s="4" t="s">
        <v>34</v>
      </c>
    </row>
    <row r="27" customFormat="false" ht="31.5" hidden="false" customHeight="true" outlineLevel="0" collapsed="false">
      <c r="A27" s="2"/>
      <c r="B27" s="3" t="s">
        <v>35</v>
      </c>
    </row>
    <row r="28" customFormat="false" ht="31.5" hidden="false" customHeight="true" outlineLevel="0" collapsed="false">
      <c r="A28" s="2"/>
      <c r="B28" s="3"/>
    </row>
    <row r="29" customFormat="false" ht="15" hidden="false" customHeight="false" outlineLevel="0" collapsed="false">
      <c r="A29" s="4" t="s">
        <v>36</v>
      </c>
    </row>
    <row r="30" customFormat="false" ht="31.5" hidden="false" customHeight="true" outlineLevel="0" collapsed="false">
      <c r="A30" s="2" t="s">
        <v>37</v>
      </c>
      <c r="B30" s="3" t="s">
        <v>38</v>
      </c>
    </row>
    <row r="31" customFormat="false" ht="31.5" hidden="false" customHeight="true" outlineLevel="0" collapsed="false">
      <c r="A31" s="2" t="s">
        <v>39</v>
      </c>
      <c r="B31" s="3" t="s">
        <v>40</v>
      </c>
    </row>
    <row r="32" customFormat="false" ht="31.5" hidden="false" customHeight="true" outlineLevel="0" collapsed="false">
      <c r="A32" s="2" t="s">
        <v>41</v>
      </c>
      <c r="B32" s="3"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U89"/>
  <sheetViews>
    <sheetView showFormulas="false" showGridLines="true" showRowColHeaders="true" showZeros="true" rightToLeft="false" tabSelected="true" showOutlineSymbols="true" defaultGridColor="true" view="normal" topLeftCell="A1" colorId="64" zoomScale="100" zoomScaleNormal="100" zoomScalePageLayoutView="70" workbookViewId="0">
      <pane xSplit="2" ySplit="3" topLeftCell="L4" activePane="bottomRight" state="frozen"/>
      <selection pane="topLeft" activeCell="A1" activeCellId="0" sqref="A1"/>
      <selection pane="topRight" activeCell="L1" activeCellId="0" sqref="L1"/>
      <selection pane="bottomLeft" activeCell="A4" activeCellId="0" sqref="A4"/>
      <selection pane="bottomRight" activeCell="R1" activeCellId="0" sqref="R1"/>
    </sheetView>
  </sheetViews>
  <sheetFormatPr defaultColWidth="18" defaultRowHeight="15" zeroHeight="false" outlineLevelRow="0" outlineLevelCol="1"/>
  <cols>
    <col collapsed="false" customWidth="true" hidden="false" outlineLevel="0" max="1" min="1" style="5" width="26.29"/>
    <col collapsed="false" customWidth="true" hidden="false" outlineLevel="0" max="2" min="2" style="6" width="16"/>
    <col collapsed="false" customWidth="true" hidden="false" outlineLevel="1" max="3" min="3" style="6" width="8.57"/>
    <col collapsed="false" customWidth="true" hidden="false" outlineLevel="1" max="4" min="4" style="6" width="9.29"/>
    <col collapsed="false" customWidth="true" hidden="false" outlineLevel="1" max="5" min="5" style="6" width="25.71"/>
    <col collapsed="false" customWidth="true" hidden="false" outlineLevel="1" max="6" min="6" style="6" width="10.29"/>
    <col collapsed="false" customWidth="true" hidden="false" outlineLevel="1" max="7" min="7" style="6" width="32.72"/>
    <col collapsed="false" customWidth="true" hidden="false" outlineLevel="1" max="8" min="8" style="6" width="19"/>
    <col collapsed="false" customWidth="true" hidden="false" outlineLevel="0" max="9" min="9" style="7" width="23.71"/>
    <col collapsed="false" customWidth="true" hidden="false" outlineLevel="0" max="10" min="10" style="8" width="14.72"/>
    <col collapsed="false" customWidth="true" hidden="false" outlineLevel="0" max="11" min="11" style="8" width="23.28"/>
    <col collapsed="false" customWidth="true" hidden="false" outlineLevel="1" max="12" min="12" style="8" width="23.28"/>
    <col collapsed="false" customWidth="true" hidden="false" outlineLevel="1" max="13" min="13" style="9" width="23.28"/>
    <col collapsed="false" customWidth="true" hidden="false" outlineLevel="0" max="14" min="14" style="6" width="22.71"/>
    <col collapsed="false" customWidth="true" hidden="false" outlineLevel="0" max="15" min="15" style="6" width="22.28"/>
    <col collapsed="false" customWidth="true" hidden="false" outlineLevel="0" max="16" min="16" style="6" width="30.43"/>
    <col collapsed="false" customWidth="true" hidden="false" outlineLevel="0" max="17" min="17" style="6" width="21.28"/>
    <col collapsed="false" customWidth="true" hidden="false" outlineLevel="0" max="18" min="18" style="6" width="26.43"/>
    <col collapsed="false" customWidth="false" hidden="false" outlineLevel="0" max="16384" min="19" style="10" width="18"/>
  </cols>
  <sheetData>
    <row r="1" customFormat="false" ht="15" hidden="false" customHeight="false" outlineLevel="0" collapsed="false">
      <c r="A1" s="11" t="n">
        <f aca="true">TODAY()</f>
        <v>46195</v>
      </c>
      <c r="I1" s="12"/>
      <c r="J1" s="13"/>
      <c r="K1" s="13"/>
      <c r="L1" s="13"/>
      <c r="M1" s="14"/>
    </row>
    <row r="2" customFormat="false" ht="15" hidden="false" customHeight="false" outlineLevel="0" collapsed="false">
      <c r="A2" s="15" t="s">
        <v>43</v>
      </c>
      <c r="B2" s="15"/>
      <c r="C2" s="15"/>
      <c r="D2" s="15"/>
      <c r="E2" s="15" t="s">
        <v>44</v>
      </c>
      <c r="F2" s="15"/>
      <c r="G2" s="16" t="s">
        <v>45</v>
      </c>
      <c r="H2" s="17"/>
      <c r="I2" s="15" t="s">
        <v>46</v>
      </c>
      <c r="J2" s="15"/>
      <c r="K2" s="15"/>
      <c r="L2" s="15"/>
      <c r="M2" s="15"/>
      <c r="N2" s="17"/>
      <c r="O2" s="17"/>
      <c r="P2" s="17"/>
      <c r="Q2" s="17"/>
      <c r="R2" s="18"/>
      <c r="S2" s="19" t="s">
        <v>47</v>
      </c>
      <c r="T2" s="19"/>
      <c r="U2" s="19"/>
      <c r="V2" s="19"/>
      <c r="W2" s="19" t="s">
        <v>48</v>
      </c>
      <c r="X2" s="19"/>
      <c r="Y2" s="19"/>
      <c r="Z2" s="19" t="s">
        <v>49</v>
      </c>
      <c r="AA2" s="19"/>
      <c r="AB2" s="19"/>
      <c r="AC2" s="19"/>
      <c r="AD2" s="19" t="s">
        <v>50</v>
      </c>
      <c r="AE2" s="19"/>
      <c r="AF2" s="19"/>
      <c r="AG2" s="19" t="s">
        <v>51</v>
      </c>
      <c r="AH2" s="19"/>
      <c r="AI2" s="19"/>
      <c r="AJ2" s="19"/>
    </row>
    <row r="3" customFormat="false" ht="15" hidden="false" customHeight="false" outlineLevel="0" collapsed="false">
      <c r="A3" s="20" t="s">
        <v>52</v>
      </c>
      <c r="B3" s="21" t="s">
        <v>53</v>
      </c>
      <c r="C3" s="21" t="s">
        <v>54</v>
      </c>
      <c r="D3" s="22" t="s">
        <v>55</v>
      </c>
      <c r="E3" s="20" t="s">
        <v>56</v>
      </c>
      <c r="F3" s="21" t="s">
        <v>57</v>
      </c>
      <c r="G3" s="23" t="s">
        <v>58</v>
      </c>
      <c r="H3" s="24" t="s">
        <v>59</v>
      </c>
      <c r="I3" s="25" t="s">
        <v>60</v>
      </c>
      <c r="J3" s="26" t="s">
        <v>61</v>
      </c>
      <c r="K3" s="26" t="s">
        <v>62</v>
      </c>
      <c r="L3" s="26" t="s">
        <v>63</v>
      </c>
      <c r="M3" s="27" t="s">
        <v>64</v>
      </c>
      <c r="N3" s="24" t="s">
        <v>65</v>
      </c>
      <c r="O3" s="24" t="s">
        <v>66</v>
      </c>
      <c r="P3" s="24" t="s">
        <v>67</v>
      </c>
      <c r="Q3" s="24" t="s">
        <v>68</v>
      </c>
      <c r="R3" s="24" t="s">
        <v>69</v>
      </c>
      <c r="S3" s="28" t="s">
        <v>70</v>
      </c>
      <c r="T3" s="28" t="s">
        <v>71</v>
      </c>
      <c r="U3" s="28" t="s">
        <v>72</v>
      </c>
      <c r="V3" s="28" t="s">
        <v>73</v>
      </c>
      <c r="W3" s="28" t="s">
        <v>74</v>
      </c>
      <c r="X3" s="28" t="s">
        <v>75</v>
      </c>
      <c r="Y3" s="28" t="s">
        <v>76</v>
      </c>
      <c r="Z3" s="28" t="s">
        <v>77</v>
      </c>
      <c r="AA3" s="28" t="s">
        <v>78</v>
      </c>
      <c r="AB3" s="28" t="s">
        <v>79</v>
      </c>
      <c r="AC3" s="28" t="s">
        <v>80</v>
      </c>
      <c r="AD3" s="28" t="s">
        <v>81</v>
      </c>
      <c r="AE3" s="28" t="s">
        <v>82</v>
      </c>
      <c r="AF3" s="28" t="s">
        <v>83</v>
      </c>
      <c r="AG3" s="28" t="s">
        <v>84</v>
      </c>
      <c r="AH3" s="28" t="s">
        <v>85</v>
      </c>
      <c r="AI3" s="28" t="s">
        <v>86</v>
      </c>
      <c r="AJ3" s="28" t="s">
        <v>87</v>
      </c>
    </row>
    <row r="4" customFormat="false" ht="15" hidden="false" customHeight="false" outlineLevel="0" collapsed="false">
      <c r="A4" s="29" t="s">
        <v>88</v>
      </c>
      <c r="B4" s="6" t="s">
        <v>89</v>
      </c>
      <c r="C4" s="6" t="s">
        <v>90</v>
      </c>
      <c r="D4" s="30" t="n">
        <v>32068</v>
      </c>
      <c r="E4" s="31" t="s">
        <v>91</v>
      </c>
      <c r="F4" s="6" t="s">
        <v>92</v>
      </c>
      <c r="G4" s="32" t="s">
        <v>93</v>
      </c>
      <c r="H4" s="33" t="n">
        <v>1</v>
      </c>
      <c r="I4" s="12"/>
      <c r="J4" s="13" t="n">
        <v>46112</v>
      </c>
      <c r="K4" s="13"/>
      <c r="L4" s="13"/>
      <c r="M4" s="14"/>
      <c r="N4" s="13"/>
      <c r="O4" s="33" t="s">
        <v>94</v>
      </c>
      <c r="P4" s="33" t="s">
        <v>95</v>
      </c>
      <c r="Q4" s="33" t="n">
        <v>9042846320</v>
      </c>
      <c r="R4" s="34" t="s">
        <v>96</v>
      </c>
      <c r="S4" s="35" t="n">
        <v>0</v>
      </c>
      <c r="T4" s="36" t="s">
        <v>97</v>
      </c>
      <c r="U4" s="35" t="n">
        <v>19937</v>
      </c>
      <c r="V4" s="36" t="s">
        <v>98</v>
      </c>
      <c r="W4" s="37" t="s">
        <v>96</v>
      </c>
      <c r="X4" s="37"/>
      <c r="Y4" s="37"/>
      <c r="Z4" s="37" t="s">
        <v>99</v>
      </c>
      <c r="AA4" s="38" t="n">
        <v>3513000</v>
      </c>
      <c r="AB4" s="38" t="n">
        <v>3055000</v>
      </c>
      <c r="AC4" s="38" t="n">
        <v>2596000</v>
      </c>
      <c r="AD4" s="38" t="n">
        <v>3514000</v>
      </c>
      <c r="AE4" s="38" t="n">
        <v>3108000</v>
      </c>
      <c r="AF4" s="38" t="n">
        <v>2560000</v>
      </c>
      <c r="AG4" s="38" t="n">
        <v>3666000</v>
      </c>
      <c r="AH4" s="38" t="n">
        <f aca="false">AG4-AE4</f>
        <v>558000</v>
      </c>
      <c r="AI4" s="39" t="n">
        <f aca="false">IF(AE4=0,"",AH4/AE4)</f>
        <v>0.17953667953668</v>
      </c>
      <c r="AJ4" s="40" t="str">
        <f aca="false">IF(AI4="","",IF(AI4&gt;=0.15,"STRONG",IF(AI4&gt;=0.1,"FILE",IF(AI4&gt;=0.07,"INVESTIGATE","PASS"))))</f>
        <v>STRONG</v>
      </c>
    </row>
    <row r="5" customFormat="false" ht="15" hidden="false" customHeight="false" outlineLevel="0" collapsed="false">
      <c r="A5" s="29" t="s">
        <v>100</v>
      </c>
      <c r="B5" s="6" t="s">
        <v>101</v>
      </c>
      <c r="C5" s="6" t="s">
        <v>90</v>
      </c>
      <c r="D5" s="30" t="n">
        <v>32073</v>
      </c>
      <c r="E5" s="31" t="s">
        <v>91</v>
      </c>
      <c r="F5" s="6" t="s">
        <v>102</v>
      </c>
      <c r="G5" s="31" t="s">
        <v>103</v>
      </c>
      <c r="H5" s="6" t="n">
        <v>1</v>
      </c>
      <c r="J5" s="8" t="n">
        <v>46112</v>
      </c>
      <c r="N5" s="8"/>
      <c r="O5" s="6" t="s">
        <v>94</v>
      </c>
      <c r="P5" s="6" t="s">
        <v>95</v>
      </c>
      <c r="Q5" s="6" t="n">
        <v>9042846320</v>
      </c>
      <c r="R5" s="41" t="s">
        <v>104</v>
      </c>
      <c r="S5" s="35" t="n">
        <v>0</v>
      </c>
      <c r="T5" s="36" t="s">
        <v>105</v>
      </c>
      <c r="U5" s="35" t="n">
        <v>9778</v>
      </c>
      <c r="V5" s="36" t="s">
        <v>106</v>
      </c>
      <c r="W5" s="37" t="s">
        <v>104</v>
      </c>
      <c r="X5" s="37"/>
      <c r="Y5" s="37"/>
      <c r="Z5" s="37" t="s">
        <v>99</v>
      </c>
      <c r="AA5" s="38" t="n">
        <v>4003000</v>
      </c>
      <c r="AB5" s="38" t="n">
        <v>3481000</v>
      </c>
      <c r="AC5" s="38" t="n">
        <v>2958000</v>
      </c>
      <c r="AD5" s="38" t="n">
        <v>3919000</v>
      </c>
      <c r="AE5" s="38" t="n">
        <v>3390000</v>
      </c>
      <c r="AF5" s="38" t="n">
        <v>2879000</v>
      </c>
      <c r="AG5" s="38" t="n">
        <v>3899000</v>
      </c>
      <c r="AH5" s="38" t="n">
        <f aca="false">AG5-AE5</f>
        <v>509000</v>
      </c>
      <c r="AI5" s="39" t="n">
        <f aca="false">IF(AE5=0,"",AH5/AE5)</f>
        <v>0.150147492625369</v>
      </c>
      <c r="AJ5" s="40" t="str">
        <f aca="false">IF(AI5="","",IF(AI5&gt;=0.15,"STRONG",IF(AI5&gt;=0.1,"FILE",IF(AI5&gt;=0.07,"INVESTIGATE","PASS"))))</f>
        <v>STRONG</v>
      </c>
    </row>
    <row r="6" customFormat="false" ht="15" hidden="false" customHeight="false" outlineLevel="0" collapsed="false">
      <c r="A6" s="29" t="s">
        <v>107</v>
      </c>
      <c r="B6" s="6" t="s">
        <v>108</v>
      </c>
      <c r="C6" s="6" t="s">
        <v>90</v>
      </c>
      <c r="D6" s="30" t="n">
        <v>32177</v>
      </c>
      <c r="E6" s="31" t="s">
        <v>91</v>
      </c>
      <c r="F6" s="6" t="s">
        <v>109</v>
      </c>
      <c r="G6" s="31" t="s">
        <v>110</v>
      </c>
      <c r="H6" s="6" t="n">
        <v>1</v>
      </c>
      <c r="J6" s="8" t="n">
        <v>46112</v>
      </c>
      <c r="N6" s="8"/>
      <c r="O6" s="6" t="s">
        <v>111</v>
      </c>
      <c r="P6" s="6" t="s">
        <v>112</v>
      </c>
      <c r="Q6" s="6" t="n">
        <v>3863290282</v>
      </c>
      <c r="R6" s="41" t="s">
        <v>113</v>
      </c>
      <c r="S6" s="35" t="n">
        <v>0</v>
      </c>
      <c r="T6" s="36" t="s">
        <v>114</v>
      </c>
      <c r="U6" s="35" t="n">
        <v>9088</v>
      </c>
      <c r="V6" s="36" t="s">
        <v>115</v>
      </c>
      <c r="W6" s="37" t="s">
        <v>113</v>
      </c>
      <c r="X6" s="37"/>
      <c r="Y6" s="37"/>
      <c r="Z6" s="37" t="s">
        <v>99</v>
      </c>
      <c r="AA6" s="38" t="n">
        <v>3972000</v>
      </c>
      <c r="AB6" s="38" t="n">
        <v>3454000</v>
      </c>
      <c r="AC6" s="38" t="n">
        <v>2935000</v>
      </c>
      <c r="AD6" s="38" t="n">
        <v>4067000</v>
      </c>
      <c r="AE6" s="38" t="n">
        <v>3454000</v>
      </c>
      <c r="AF6" s="38" t="n">
        <v>3020000</v>
      </c>
      <c r="AG6" s="38" t="n">
        <v>3731000</v>
      </c>
      <c r="AH6" s="38" t="n">
        <f aca="false">AG6-AE6</f>
        <v>277000</v>
      </c>
      <c r="AI6" s="39" t="n">
        <f aca="false">IF(AE6=0,"",AH6/AE6)</f>
        <v>0.0801968731905038</v>
      </c>
      <c r="AJ6" s="40" t="str">
        <f aca="false">IF(AI6="","",IF(AI6&gt;=0.15,"STRONG",IF(AI6&gt;=0.1,"FILE",IF(AI6&gt;=0.07,"INVESTIGATE","PASS"))))</f>
        <v>INVESTIGATE</v>
      </c>
    </row>
    <row r="7" customFormat="false" ht="15" hidden="false" customHeight="false" outlineLevel="0" collapsed="false">
      <c r="A7" s="29" t="s">
        <v>116</v>
      </c>
      <c r="B7" s="6" t="s">
        <v>117</v>
      </c>
      <c r="C7" s="6" t="s">
        <v>90</v>
      </c>
      <c r="D7" s="30" t="n">
        <v>32084</v>
      </c>
      <c r="E7" s="31" t="s">
        <v>91</v>
      </c>
      <c r="F7" s="6" t="s">
        <v>118</v>
      </c>
      <c r="G7" s="31" t="s">
        <v>119</v>
      </c>
      <c r="H7" s="6" t="n">
        <v>1</v>
      </c>
      <c r="J7" s="8" t="n">
        <v>46112</v>
      </c>
      <c r="N7" s="8"/>
      <c r="O7" s="6" t="s">
        <v>94</v>
      </c>
      <c r="P7" s="6" t="s">
        <v>120</v>
      </c>
      <c r="Q7" s="6" t="n">
        <v>9042092250</v>
      </c>
      <c r="R7" s="41" t="s">
        <v>121</v>
      </c>
      <c r="S7" s="35" t="n">
        <v>0</v>
      </c>
      <c r="T7" s="36" t="s">
        <v>122</v>
      </c>
      <c r="U7" s="35" t="n">
        <v>21840</v>
      </c>
      <c r="V7" s="36" t="s">
        <v>106</v>
      </c>
      <c r="W7" s="37" t="s">
        <v>121</v>
      </c>
      <c r="X7" s="37" t="s">
        <v>123</v>
      </c>
      <c r="Y7" s="37"/>
      <c r="Z7" s="37" t="s">
        <v>99</v>
      </c>
      <c r="AA7" s="38" t="n">
        <v>2679000</v>
      </c>
      <c r="AB7" s="38" t="n">
        <v>2330000</v>
      </c>
      <c r="AC7" s="38" t="n">
        <v>1980000</v>
      </c>
      <c r="AD7" s="38" t="n">
        <v>2606000</v>
      </c>
      <c r="AE7" s="38" t="n">
        <v>2382000</v>
      </c>
      <c r="AF7" s="38" t="n">
        <v>1955000</v>
      </c>
      <c r="AG7" s="38" t="n">
        <v>2377000</v>
      </c>
      <c r="AH7" s="38" t="n">
        <f aca="false">AG7-AE7</f>
        <v>-5000</v>
      </c>
      <c r="AI7" s="39" t="n">
        <f aca="false">IF(AE7=0,"",AH7/AE7)</f>
        <v>-0.00209907640638119</v>
      </c>
      <c r="AJ7" s="40" t="str">
        <f aca="false">IF(AI7="","",IF(AI7&gt;=0.15,"STRONG",IF(AI7&gt;=0.1,"FILE",IF(AI7&gt;=0.07,"INVESTIGATE","PASS"))))</f>
        <v>PASS</v>
      </c>
    </row>
    <row r="8" customFormat="false" ht="15" hidden="false" customHeight="false" outlineLevel="0" collapsed="false">
      <c r="A8" s="29" t="s">
        <v>124</v>
      </c>
      <c r="B8" s="6" t="s">
        <v>125</v>
      </c>
      <c r="C8" s="6" t="s">
        <v>90</v>
      </c>
      <c r="D8" s="30" t="n">
        <v>33401</v>
      </c>
      <c r="E8" s="31" t="s">
        <v>126</v>
      </c>
      <c r="F8" s="6" t="s">
        <v>127</v>
      </c>
      <c r="G8" s="31" t="n">
        <v>101606030</v>
      </c>
      <c r="H8" s="6" t="n">
        <v>1</v>
      </c>
      <c r="I8" s="7" t="n">
        <v>46356</v>
      </c>
      <c r="J8" s="8" t="n">
        <v>46112</v>
      </c>
      <c r="N8" s="8"/>
      <c r="O8" s="6" t="s">
        <v>128</v>
      </c>
      <c r="R8" s="41" t="s">
        <v>129</v>
      </c>
      <c r="S8" s="35" t="n">
        <v>0</v>
      </c>
      <c r="T8" s="36" t="s">
        <v>130</v>
      </c>
      <c r="U8" s="35" t="n">
        <v>9407</v>
      </c>
      <c r="V8" s="36" t="s">
        <v>131</v>
      </c>
      <c r="W8" s="37" t="s">
        <v>129</v>
      </c>
      <c r="X8" s="37"/>
      <c r="Y8" s="37"/>
      <c r="Z8" s="37" t="s">
        <v>99</v>
      </c>
      <c r="AA8" s="38" t="n">
        <v>2831000</v>
      </c>
      <c r="AB8" s="38" t="n">
        <v>2462000</v>
      </c>
      <c r="AC8" s="38" t="n">
        <v>2092000</v>
      </c>
      <c r="AD8" s="38" t="n">
        <v>2858000</v>
      </c>
      <c r="AE8" s="38" t="n">
        <v>2507000</v>
      </c>
      <c r="AF8" s="38" t="n">
        <v>2077000</v>
      </c>
      <c r="AG8" s="38" t="n">
        <v>2955000</v>
      </c>
      <c r="AH8" s="38" t="n">
        <f aca="false">AG8-AE8</f>
        <v>448000</v>
      </c>
      <c r="AI8" s="39" t="n">
        <f aca="false">IF(AE8=0,"",AH8/AE8)</f>
        <v>0.178699641005185</v>
      </c>
      <c r="AJ8" s="40" t="str">
        <f aca="false">IF(AI8="","",IF(AI8&gt;=0.15,"STRONG",IF(AI8&gt;=0.1,"FILE",IF(AI8&gt;=0.07,"INVESTIGATE","PASS"))))</f>
        <v>STRONG</v>
      </c>
    </row>
    <row r="9" customFormat="false" ht="15" hidden="false" customHeight="false" outlineLevel="0" collapsed="false">
      <c r="A9" s="29" t="s">
        <v>132</v>
      </c>
      <c r="B9" s="6" t="s">
        <v>133</v>
      </c>
      <c r="C9" s="6" t="s">
        <v>90</v>
      </c>
      <c r="D9" s="30" t="n">
        <v>33716</v>
      </c>
      <c r="E9" s="31" t="s">
        <v>134</v>
      </c>
      <c r="F9" s="6" t="s">
        <v>135</v>
      </c>
      <c r="G9" s="31" t="s">
        <v>136</v>
      </c>
      <c r="H9" s="6" t="n">
        <v>1</v>
      </c>
      <c r="I9" s="7" t="n">
        <v>45991</v>
      </c>
      <c r="J9" s="8" t="n">
        <v>46112</v>
      </c>
      <c r="O9" s="6" t="s">
        <v>137</v>
      </c>
      <c r="R9" s="41" t="s">
        <v>138</v>
      </c>
      <c r="S9" s="35" t="n">
        <v>0</v>
      </c>
      <c r="T9" s="36" t="s">
        <v>139</v>
      </c>
      <c r="U9" s="35" t="n">
        <v>4064</v>
      </c>
      <c r="V9" s="36" t="s">
        <v>140</v>
      </c>
      <c r="W9" s="37" t="s">
        <v>138</v>
      </c>
      <c r="X9" s="37"/>
      <c r="Y9" s="37"/>
      <c r="Z9" s="37" t="s">
        <v>99</v>
      </c>
      <c r="AA9" s="38" t="n">
        <v>2990000</v>
      </c>
      <c r="AB9" s="38" t="n">
        <v>2600000</v>
      </c>
      <c r="AC9" s="38" t="n">
        <v>2210000</v>
      </c>
      <c r="AD9" s="38" t="n">
        <v>3046000</v>
      </c>
      <c r="AE9" s="38" t="n">
        <v>2528000</v>
      </c>
      <c r="AF9" s="38" t="n">
        <v>2254000</v>
      </c>
      <c r="AG9" s="38" t="n">
        <v>2913000</v>
      </c>
      <c r="AH9" s="38" t="n">
        <f aca="false">AG9-AE9</f>
        <v>385000</v>
      </c>
      <c r="AI9" s="39" t="n">
        <f aca="false">IF(AE9=0,"",AH9/AE9)</f>
        <v>0.152294303797468</v>
      </c>
      <c r="AJ9" s="40" t="str">
        <f aca="false">IF(AI9="","",IF(AI9&gt;=0.15,"STRONG",IF(AI9&gt;=0.1,"FILE",IF(AI9&gt;=0.07,"INVESTIGATE","PASS"))))</f>
        <v>STRONG</v>
      </c>
    </row>
    <row r="10" customFormat="false" ht="15" hidden="false" customHeight="false" outlineLevel="0" collapsed="false">
      <c r="A10" s="29" t="s">
        <v>141</v>
      </c>
      <c r="B10" s="6" t="s">
        <v>142</v>
      </c>
      <c r="C10" s="6" t="s">
        <v>90</v>
      </c>
      <c r="D10" s="30" t="n">
        <v>33321</v>
      </c>
      <c r="E10" s="31" t="s">
        <v>143</v>
      </c>
      <c r="F10" s="6" t="s">
        <v>144</v>
      </c>
      <c r="G10" s="31" t="s">
        <v>145</v>
      </c>
      <c r="H10" s="6" t="n">
        <v>1</v>
      </c>
      <c r="I10" s="7" t="n">
        <v>45991</v>
      </c>
      <c r="J10" s="8" t="n">
        <v>46112</v>
      </c>
      <c r="N10" s="8"/>
      <c r="O10" s="6" t="s">
        <v>146</v>
      </c>
      <c r="P10" s="6" t="s">
        <v>147</v>
      </c>
      <c r="Q10" s="6" t="n">
        <v>9548314000</v>
      </c>
      <c r="R10" s="41" t="s">
        <v>148</v>
      </c>
      <c r="S10" s="35" t="n">
        <v>0</v>
      </c>
      <c r="T10" s="36" t="s">
        <v>149</v>
      </c>
      <c r="U10" s="35" t="n">
        <v>4042</v>
      </c>
      <c r="V10" s="36" t="s">
        <v>150</v>
      </c>
      <c r="W10" s="37" t="s">
        <v>148</v>
      </c>
      <c r="X10" s="37"/>
      <c r="Y10" s="37"/>
      <c r="Z10" s="37" t="s">
        <v>99</v>
      </c>
      <c r="AA10" s="38" t="n">
        <v>4419000</v>
      </c>
      <c r="AB10" s="38" t="n">
        <v>3843000</v>
      </c>
      <c r="AC10" s="38" t="n">
        <v>3266000</v>
      </c>
      <c r="AD10" s="38" t="n">
        <v>4509000</v>
      </c>
      <c r="AE10" s="38" t="n">
        <v>3737000</v>
      </c>
      <c r="AF10" s="38" t="n">
        <v>3341000</v>
      </c>
      <c r="AG10" s="38" t="n">
        <v>4151000</v>
      </c>
      <c r="AH10" s="38" t="n">
        <f aca="false">AG10-AE10</f>
        <v>414000</v>
      </c>
      <c r="AI10" s="39" t="n">
        <f aca="false">IF(AE10=0,"",AH10/AE10)</f>
        <v>0.110784051378111</v>
      </c>
      <c r="AJ10" s="40" t="str">
        <f aca="false">IF(AI10="","",IF(AI10&gt;=0.15,"STRONG",IF(AI10&gt;=0.1,"FILE",IF(AI10&gt;=0.07,"INVESTIGATE","PASS"))))</f>
        <v>FILE</v>
      </c>
    </row>
    <row r="11" customFormat="false" ht="15" hidden="false" customHeight="false" outlineLevel="0" collapsed="false">
      <c r="A11" s="29" t="s">
        <v>151</v>
      </c>
      <c r="B11" s="6" t="s">
        <v>152</v>
      </c>
      <c r="C11" s="6" t="s">
        <v>90</v>
      </c>
      <c r="D11" s="30" t="n">
        <v>34145</v>
      </c>
      <c r="E11" s="31" t="s">
        <v>153</v>
      </c>
      <c r="F11" s="6" t="s">
        <v>154</v>
      </c>
      <c r="G11" s="31" t="n">
        <v>56931560003</v>
      </c>
      <c r="H11" s="6" t="n">
        <v>1</v>
      </c>
      <c r="I11" s="7" t="n">
        <v>45991</v>
      </c>
      <c r="J11" s="8" t="n">
        <v>46112</v>
      </c>
      <c r="N11" s="8"/>
      <c r="O11" s="6" t="s">
        <v>155</v>
      </c>
      <c r="P11" s="6" t="s">
        <v>156</v>
      </c>
      <c r="Q11" s="6" t="n">
        <v>56931560003</v>
      </c>
      <c r="R11" s="41" t="s">
        <v>157</v>
      </c>
      <c r="S11" s="35" t="n">
        <v>0</v>
      </c>
      <c r="T11" s="36" t="s">
        <v>158</v>
      </c>
      <c r="U11" s="35" t="n">
        <v>8078</v>
      </c>
      <c r="V11" s="36" t="s">
        <v>115</v>
      </c>
      <c r="W11" s="37" t="s">
        <v>157</v>
      </c>
      <c r="X11" s="37"/>
      <c r="Y11" s="37" t="s">
        <v>159</v>
      </c>
      <c r="Z11" s="37" t="s">
        <v>99</v>
      </c>
      <c r="AA11" s="38" t="n">
        <v>4255000</v>
      </c>
      <c r="AB11" s="38" t="n">
        <v>3700000</v>
      </c>
      <c r="AC11" s="38" t="n">
        <v>3145000</v>
      </c>
      <c r="AD11" s="38" t="n">
        <v>4379000</v>
      </c>
      <c r="AE11" s="38" t="n">
        <v>3711000</v>
      </c>
      <c r="AF11" s="38" t="n">
        <v>3092000</v>
      </c>
      <c r="AG11" s="38" t="n">
        <v>3775000</v>
      </c>
      <c r="AH11" s="38" t="n">
        <f aca="false">AG11-AE11</f>
        <v>64000</v>
      </c>
      <c r="AI11" s="39" t="n">
        <f aca="false">IF(AE11=0,"",AH11/AE11)</f>
        <v>0.0172460253300997</v>
      </c>
      <c r="AJ11" s="40" t="str">
        <f aca="false">IF(AI11="","",IF(AI11&gt;=0.15,"STRONG",IF(AI11&gt;=0.1,"FILE",IF(AI11&gt;=0.07,"INVESTIGATE","PASS"))))</f>
        <v>PASS</v>
      </c>
    </row>
    <row r="12" customFormat="false" ht="15" hidden="false" customHeight="false" outlineLevel="0" collapsed="false">
      <c r="A12" s="29" t="s">
        <v>160</v>
      </c>
      <c r="B12" s="6" t="s">
        <v>125</v>
      </c>
      <c r="C12" s="6" t="s">
        <v>90</v>
      </c>
      <c r="D12" s="30" t="n">
        <v>33409</v>
      </c>
      <c r="E12" s="31" t="s">
        <v>161</v>
      </c>
      <c r="F12" s="6" t="s">
        <v>162</v>
      </c>
      <c r="G12" s="31" t="s">
        <v>163</v>
      </c>
      <c r="H12" s="6" t="n">
        <v>1</v>
      </c>
      <c r="J12" s="8" t="n">
        <v>46112</v>
      </c>
      <c r="O12" s="6" t="s">
        <v>164</v>
      </c>
      <c r="P12" s="6" t="s">
        <v>165</v>
      </c>
      <c r="Q12" s="6" t="s">
        <v>166</v>
      </c>
      <c r="R12" s="41" t="s">
        <v>167</v>
      </c>
      <c r="S12" s="35" t="n">
        <v>0</v>
      </c>
      <c r="T12" s="36" t="s">
        <v>168</v>
      </c>
      <c r="U12" s="35" t="n">
        <v>18076</v>
      </c>
      <c r="V12" s="36" t="s">
        <v>169</v>
      </c>
      <c r="W12" s="37" t="s">
        <v>167</v>
      </c>
      <c r="X12" s="37"/>
      <c r="Y12" s="37"/>
      <c r="Z12" s="37" t="s">
        <v>99</v>
      </c>
      <c r="AA12" s="38" t="n">
        <v>2242000</v>
      </c>
      <c r="AB12" s="38" t="n">
        <v>1950000</v>
      </c>
      <c r="AC12" s="38" t="n">
        <v>1657000</v>
      </c>
      <c r="AD12" s="38" t="n">
        <v>2286000</v>
      </c>
      <c r="AE12" s="38" t="n">
        <v>1998000</v>
      </c>
      <c r="AF12" s="38" t="n">
        <v>1649000</v>
      </c>
      <c r="AG12" s="38" t="n">
        <v>2341000</v>
      </c>
      <c r="AH12" s="38" t="n">
        <f aca="false">AG12-AE12</f>
        <v>343000</v>
      </c>
      <c r="AI12" s="39" t="n">
        <f aca="false">IF(AE12=0,"",AH12/AE12)</f>
        <v>0.171671671671672</v>
      </c>
      <c r="AJ12" s="40" t="str">
        <f aca="false">IF(AI12="","",IF(AI12&gt;=0.15,"STRONG",IF(AI12&gt;=0.1,"FILE",IF(AI12&gt;=0.07,"INVESTIGATE","PASS"))))</f>
        <v>STRONG</v>
      </c>
    </row>
    <row r="13" customFormat="false" ht="15" hidden="false" customHeight="false" outlineLevel="0" collapsed="false">
      <c r="A13" s="29" t="s">
        <v>170</v>
      </c>
      <c r="B13" s="6" t="s">
        <v>171</v>
      </c>
      <c r="C13" s="6" t="s">
        <v>172</v>
      </c>
      <c r="D13" s="30" t="n">
        <v>95453</v>
      </c>
      <c r="E13" s="31" t="s">
        <v>153</v>
      </c>
      <c r="F13" s="6" t="s">
        <v>173</v>
      </c>
      <c r="G13" s="31" t="s">
        <v>174</v>
      </c>
      <c r="H13" s="6" t="n">
        <v>2</v>
      </c>
      <c r="J13" s="8" t="n">
        <v>46122</v>
      </c>
      <c r="K13" s="42" t="n">
        <v>46366</v>
      </c>
      <c r="N13" s="8"/>
      <c r="O13" s="6" t="s">
        <v>175</v>
      </c>
      <c r="P13" s="6" t="s">
        <v>176</v>
      </c>
      <c r="Q13" s="6" t="n">
        <v>7072632234</v>
      </c>
      <c r="R13" s="41" t="s">
        <v>177</v>
      </c>
      <c r="S13" s="35" t="n">
        <v>141633</v>
      </c>
      <c r="T13" s="43"/>
      <c r="U13" s="43"/>
      <c r="V13" s="43"/>
      <c r="W13" s="37" t="s">
        <v>177</v>
      </c>
      <c r="X13" s="37"/>
      <c r="Y13" s="37"/>
      <c r="Z13" s="37" t="s">
        <v>99</v>
      </c>
      <c r="AA13" s="38" t="n">
        <v>1928000</v>
      </c>
      <c r="AB13" s="38" t="n">
        <v>1677000</v>
      </c>
      <c r="AC13" s="38" t="n">
        <v>1425000</v>
      </c>
      <c r="AD13" s="38" t="n">
        <v>1920000</v>
      </c>
      <c r="AE13" s="38" t="n">
        <v>1680000</v>
      </c>
      <c r="AF13" s="38" t="n">
        <v>1418000</v>
      </c>
      <c r="AG13" s="38" t="n">
        <v>1879000</v>
      </c>
      <c r="AH13" s="38" t="n">
        <f aca="false">AG13-AE13</f>
        <v>199000</v>
      </c>
      <c r="AI13" s="39" t="n">
        <f aca="false">IF(AE13=0,"",AH13/AE13)</f>
        <v>0.118452380952381</v>
      </c>
      <c r="AJ13" s="40" t="str">
        <f aca="false">IF(AI13="","",IF(AI13&gt;=0.15,"STRONG",IF(AI13&gt;=0.1,"FILE",IF(AI13&gt;=0.07,"INVESTIGATE","PASS"))))</f>
        <v>FILE</v>
      </c>
    </row>
    <row r="14" customFormat="false" ht="15" hidden="false" customHeight="false" outlineLevel="0" collapsed="false">
      <c r="A14" s="29" t="s">
        <v>178</v>
      </c>
      <c r="B14" s="6" t="s">
        <v>179</v>
      </c>
      <c r="C14" s="6" t="s">
        <v>180</v>
      </c>
      <c r="D14" s="30" t="n">
        <v>85607</v>
      </c>
      <c r="E14" s="31" t="s">
        <v>181</v>
      </c>
      <c r="F14" s="6" t="s">
        <v>182</v>
      </c>
      <c r="G14" s="31" t="s">
        <v>183</v>
      </c>
      <c r="H14" s="6" t="n">
        <v>2</v>
      </c>
      <c r="J14" s="8" t="n">
        <v>46143</v>
      </c>
      <c r="K14" s="42" t="n">
        <v>46327</v>
      </c>
      <c r="N14" s="8"/>
      <c r="O14" s="6" t="s">
        <v>184</v>
      </c>
      <c r="P14" s="6" t="s">
        <v>185</v>
      </c>
      <c r="Q14" s="6" t="n">
        <v>5204328400</v>
      </c>
      <c r="R14" s="41" t="s">
        <v>186</v>
      </c>
      <c r="S14" s="35" t="n">
        <v>0</v>
      </c>
      <c r="T14" s="36" t="s">
        <v>187</v>
      </c>
      <c r="U14" s="35" t="n">
        <v>24837</v>
      </c>
      <c r="V14" s="36" t="s">
        <v>188</v>
      </c>
      <c r="W14" s="37" t="s">
        <v>186</v>
      </c>
      <c r="X14" s="37" t="s">
        <v>189</v>
      </c>
      <c r="Y14" s="37"/>
      <c r="Z14" s="37" t="s">
        <v>99</v>
      </c>
      <c r="AA14" s="38" t="n">
        <v>1672000</v>
      </c>
      <c r="AB14" s="38" t="n">
        <v>1454000</v>
      </c>
      <c r="AC14" s="38" t="n">
        <v>1235000</v>
      </c>
      <c r="AD14" s="38" t="n">
        <v>1632000</v>
      </c>
      <c r="AE14" s="38" t="n">
        <v>1457000</v>
      </c>
      <c r="AF14" s="38" t="n">
        <v>1211000</v>
      </c>
      <c r="AG14" s="38" t="n">
        <v>1571000</v>
      </c>
      <c r="AH14" s="38" t="n">
        <f aca="false">AG14-AE14</f>
        <v>114000</v>
      </c>
      <c r="AI14" s="39" t="n">
        <f aca="false">IF(AE14=0,"",AH14/AE14)</f>
        <v>0.0782429649965683</v>
      </c>
      <c r="AJ14" s="40" t="str">
        <f aca="false">IF(AI14="","",IF(AI14&gt;=0.15,"STRONG",IF(AI14&gt;=0.1,"FILE",IF(AI14&gt;=0.07,"INVESTIGATE","PASS"))))</f>
        <v>INVESTIGATE</v>
      </c>
    </row>
    <row r="15" customFormat="false" ht="15" hidden="false" customHeight="false" outlineLevel="0" collapsed="false">
      <c r="A15" s="29" t="s">
        <v>190</v>
      </c>
      <c r="B15" s="6" t="s">
        <v>191</v>
      </c>
      <c r="C15" s="6" t="s">
        <v>180</v>
      </c>
      <c r="D15" s="30" t="n">
        <v>85713</v>
      </c>
      <c r="E15" s="31" t="s">
        <v>181</v>
      </c>
      <c r="F15" s="6" t="s">
        <v>192</v>
      </c>
      <c r="G15" s="31" t="s">
        <v>193</v>
      </c>
      <c r="H15" s="6" t="n">
        <v>2</v>
      </c>
      <c r="J15" s="8" t="n">
        <v>46143</v>
      </c>
      <c r="K15" s="42" t="n">
        <v>46327</v>
      </c>
      <c r="N15" s="8"/>
      <c r="O15" s="6" t="s">
        <v>184</v>
      </c>
      <c r="P15" s="6" t="s">
        <v>194</v>
      </c>
      <c r="Q15" s="6" t="n">
        <v>5207248341</v>
      </c>
      <c r="R15" s="41" t="s">
        <v>195</v>
      </c>
      <c r="S15" s="35" t="n">
        <v>0</v>
      </c>
      <c r="T15" s="36" t="s">
        <v>196</v>
      </c>
      <c r="U15" s="35" t="n">
        <v>24797</v>
      </c>
      <c r="V15" s="36" t="s">
        <v>197</v>
      </c>
      <c r="W15" s="37" t="s">
        <v>195</v>
      </c>
      <c r="X15" s="37"/>
      <c r="Y15" s="37"/>
      <c r="Z15" s="37" t="s">
        <v>99</v>
      </c>
      <c r="AA15" s="38" t="n">
        <v>4703000</v>
      </c>
      <c r="AB15" s="38" t="n">
        <v>4090000</v>
      </c>
      <c r="AC15" s="38" t="n">
        <v>3476000</v>
      </c>
      <c r="AD15" s="38" t="n">
        <v>4664000</v>
      </c>
      <c r="AE15" s="38" t="n">
        <v>4072000</v>
      </c>
      <c r="AF15" s="38" t="n">
        <v>3545000</v>
      </c>
      <c r="AG15" s="38" t="n">
        <v>4172000</v>
      </c>
      <c r="AH15" s="38" t="n">
        <f aca="false">AG15-AE15</f>
        <v>100000</v>
      </c>
      <c r="AI15" s="39" t="n">
        <f aca="false">IF(AE15=0,"",AH15/AE15)</f>
        <v>0.0245579567779961</v>
      </c>
      <c r="AJ15" s="40" t="str">
        <f aca="false">IF(AI15="","",IF(AI15&gt;=0.15,"STRONG",IF(AI15&gt;=0.1,"FILE",IF(AI15&gt;=0.07,"INVESTIGATE","PASS"))))</f>
        <v>PASS</v>
      </c>
    </row>
    <row r="16" customFormat="false" ht="15" hidden="false" customHeight="false" outlineLevel="0" collapsed="false">
      <c r="A16" s="29" t="s">
        <v>198</v>
      </c>
      <c r="B16" s="6" t="s">
        <v>199</v>
      </c>
      <c r="C16" s="6" t="s">
        <v>200</v>
      </c>
      <c r="D16" s="30" t="n">
        <v>87123</v>
      </c>
      <c r="E16" s="31" t="s">
        <v>201</v>
      </c>
      <c r="F16" s="6" t="s">
        <v>202</v>
      </c>
      <c r="G16" s="31" t="s">
        <v>203</v>
      </c>
      <c r="H16" s="6" t="n">
        <v>2</v>
      </c>
      <c r="J16" s="8" t="n">
        <v>46152</v>
      </c>
      <c r="K16" s="42" t="n">
        <v>46366</v>
      </c>
      <c r="N16" s="8"/>
      <c r="O16" s="6" t="s">
        <v>204</v>
      </c>
      <c r="P16" s="6" t="s">
        <v>205</v>
      </c>
      <c r="Q16" s="6" t="s">
        <v>206</v>
      </c>
      <c r="R16" s="41" t="s">
        <v>207</v>
      </c>
      <c r="S16" s="35" t="n">
        <v>0</v>
      </c>
      <c r="T16" s="36" t="s">
        <v>208</v>
      </c>
      <c r="U16" s="35" t="n">
        <v>20212</v>
      </c>
      <c r="V16" s="36" t="s">
        <v>209</v>
      </c>
      <c r="W16" s="37" t="s">
        <v>207</v>
      </c>
      <c r="X16" s="37"/>
      <c r="Y16" s="37"/>
      <c r="Z16" s="37" t="s">
        <v>99</v>
      </c>
      <c r="AA16" s="38" t="n">
        <v>2130000</v>
      </c>
      <c r="AB16" s="38" t="n">
        <v>1853000</v>
      </c>
      <c r="AC16" s="38" t="n">
        <v>1575000</v>
      </c>
      <c r="AD16" s="38" t="n">
        <v>2084000</v>
      </c>
      <c r="AE16" s="38" t="n">
        <v>1858000</v>
      </c>
      <c r="AF16" s="38" t="n">
        <v>1577000</v>
      </c>
      <c r="AG16" s="38" t="n">
        <v>2224000</v>
      </c>
      <c r="AH16" s="38" t="n">
        <f aca="false">AG16-AE16</f>
        <v>366000</v>
      </c>
      <c r="AI16" s="39" t="n">
        <f aca="false">IF(AE16=0,"",AH16/AE16)</f>
        <v>0.196986006458558</v>
      </c>
      <c r="AJ16" s="40" t="str">
        <f aca="false">IF(AI16="","",IF(AI16&gt;=0.15,"STRONG",IF(AI16&gt;=0.1,"FILE",IF(AI16&gt;=0.07,"INVESTIGATE","PASS"))))</f>
        <v>STRONG</v>
      </c>
    </row>
    <row r="17" customFormat="false" ht="15" hidden="false" customHeight="false" outlineLevel="0" collapsed="false">
      <c r="A17" s="29" t="s">
        <v>210</v>
      </c>
      <c r="B17" s="6" t="s">
        <v>211</v>
      </c>
      <c r="C17" s="6" t="s">
        <v>212</v>
      </c>
      <c r="D17" s="30" t="n">
        <v>55344</v>
      </c>
      <c r="E17" s="31" t="s">
        <v>213</v>
      </c>
      <c r="F17" s="6" t="s">
        <v>214</v>
      </c>
      <c r="G17" s="44" t="s">
        <v>215</v>
      </c>
      <c r="H17" s="6" t="n">
        <v>2</v>
      </c>
      <c r="J17" s="8" t="n">
        <v>46157</v>
      </c>
      <c r="K17" s="8" t="n">
        <v>46310</v>
      </c>
      <c r="N17" s="8"/>
      <c r="O17" s="6" t="s">
        <v>216</v>
      </c>
      <c r="P17" s="6" t="s">
        <v>217</v>
      </c>
      <c r="R17" s="41" t="s">
        <v>218</v>
      </c>
      <c r="S17" s="35" t="n">
        <v>0</v>
      </c>
      <c r="T17" s="36" t="s">
        <v>219</v>
      </c>
      <c r="U17" s="35" t="n">
        <v>7621</v>
      </c>
      <c r="V17" s="36" t="s">
        <v>220</v>
      </c>
      <c r="W17" s="37" t="s">
        <v>218</v>
      </c>
      <c r="X17" s="37"/>
      <c r="Y17" s="37"/>
      <c r="Z17" s="37" t="s">
        <v>99</v>
      </c>
      <c r="AA17" s="38" t="n">
        <v>4202000</v>
      </c>
      <c r="AB17" s="38" t="n">
        <v>3654000</v>
      </c>
      <c r="AC17" s="38" t="n">
        <v>3105000</v>
      </c>
      <c r="AD17" s="38" t="n">
        <v>4202000</v>
      </c>
      <c r="AE17" s="38" t="n">
        <v>3675000</v>
      </c>
      <c r="AF17" s="38" t="n">
        <v>3188000</v>
      </c>
      <c r="AG17" s="38" t="n">
        <v>4093000</v>
      </c>
      <c r="AH17" s="38" t="n">
        <f aca="false">AG17-AE17</f>
        <v>418000</v>
      </c>
      <c r="AI17" s="39" t="n">
        <f aca="false">IF(AE17=0,"",AH17/AE17)</f>
        <v>0.113741496598639</v>
      </c>
      <c r="AJ17" s="40" t="str">
        <f aca="false">IF(AI17="","",IF(AI17&gt;=0.15,"STRONG",IF(AI17&gt;=0.1,"FILE",IF(AI17&gt;=0.07,"INVESTIGATE","PASS"))))</f>
        <v>FILE</v>
      </c>
    </row>
    <row r="18" customFormat="false" ht="15" hidden="false" customHeight="false" outlineLevel="0" collapsed="false">
      <c r="A18" s="29" t="s">
        <v>221</v>
      </c>
      <c r="B18" s="6" t="s">
        <v>222</v>
      </c>
      <c r="C18" s="6" t="s">
        <v>223</v>
      </c>
      <c r="D18" s="30" t="n">
        <v>11901</v>
      </c>
      <c r="E18" s="31" t="s">
        <v>224</v>
      </c>
      <c r="F18" s="6" t="s">
        <v>225</v>
      </c>
      <c r="G18" s="31" t="n">
        <v>11982</v>
      </c>
      <c r="H18" s="6" t="n">
        <v>2</v>
      </c>
      <c r="J18" s="8" t="n">
        <v>46175</v>
      </c>
      <c r="K18" s="8" t="n">
        <v>46397</v>
      </c>
      <c r="N18" s="8"/>
      <c r="O18" s="6" t="s">
        <v>226</v>
      </c>
      <c r="P18" s="6" t="s">
        <v>227</v>
      </c>
      <c r="R18" s="41" t="s">
        <v>228</v>
      </c>
      <c r="S18" s="35" t="n">
        <v>0</v>
      </c>
      <c r="T18" s="36" t="s">
        <v>149</v>
      </c>
      <c r="U18" s="35" t="n">
        <v>20651</v>
      </c>
      <c r="V18" s="36" t="s">
        <v>229</v>
      </c>
      <c r="W18" s="37" t="s">
        <v>228</v>
      </c>
      <c r="X18" s="37"/>
      <c r="Y18" s="37"/>
      <c r="Z18" s="37" t="s">
        <v>99</v>
      </c>
      <c r="AA18" s="38" t="n">
        <v>2980000</v>
      </c>
      <c r="AB18" s="38" t="n">
        <v>2592000</v>
      </c>
      <c r="AC18" s="38" t="n">
        <v>2203000</v>
      </c>
      <c r="AD18" s="38" t="n">
        <v>3059000</v>
      </c>
      <c r="AE18" s="38" t="n">
        <v>2654000</v>
      </c>
      <c r="AF18" s="38" t="n">
        <v>2209000</v>
      </c>
      <c r="AG18" s="38" t="n">
        <v>2800000</v>
      </c>
      <c r="AH18" s="38" t="n">
        <f aca="false">AG18-AE18</f>
        <v>146000</v>
      </c>
      <c r="AI18" s="39" t="n">
        <f aca="false">IF(AE18=0,"",AH18/AE18)</f>
        <v>0.0550113036925396</v>
      </c>
      <c r="AJ18" s="40" t="str">
        <f aca="false">IF(AI18="","",IF(AI18&gt;=0.15,"STRONG",IF(AI18&gt;=0.1,"FILE",IF(AI18&gt;=0.07,"INVESTIGATE","PASS"))))</f>
        <v>PASS</v>
      </c>
    </row>
    <row r="19" customFormat="false" ht="15" hidden="false" customHeight="false" outlineLevel="0" collapsed="false">
      <c r="A19" s="29" t="s">
        <v>230</v>
      </c>
      <c r="B19" s="6" t="s">
        <v>222</v>
      </c>
      <c r="C19" s="6" t="s">
        <v>223</v>
      </c>
      <c r="D19" s="30" t="n">
        <v>11901</v>
      </c>
      <c r="E19" s="31" t="s">
        <v>224</v>
      </c>
      <c r="F19" s="6" t="s">
        <v>231</v>
      </c>
      <c r="G19" s="31" t="n">
        <v>11982</v>
      </c>
      <c r="J19" s="8" t="n">
        <v>46175</v>
      </c>
      <c r="K19" s="8" t="n">
        <v>46397</v>
      </c>
      <c r="N19" s="8"/>
      <c r="O19" s="6" t="s">
        <v>226</v>
      </c>
      <c r="P19" s="6" t="s">
        <v>227</v>
      </c>
      <c r="R19" s="41" t="s">
        <v>228</v>
      </c>
      <c r="S19" s="35" t="n">
        <v>0</v>
      </c>
      <c r="T19" s="36" t="s">
        <v>168</v>
      </c>
      <c r="U19" s="35" t="n">
        <v>11128</v>
      </c>
      <c r="V19" s="36" t="s">
        <v>131</v>
      </c>
      <c r="W19" s="37" t="s">
        <v>228</v>
      </c>
      <c r="X19" s="37"/>
      <c r="Y19" s="37"/>
      <c r="Z19" s="37" t="s">
        <v>99</v>
      </c>
      <c r="AA19" s="38" t="n">
        <v>3362000</v>
      </c>
      <c r="AB19" s="38" t="n">
        <v>2924000</v>
      </c>
      <c r="AC19" s="38" t="n">
        <v>2485000</v>
      </c>
      <c r="AD19" s="38" t="n">
        <v>3261000</v>
      </c>
      <c r="AE19" s="38" t="n">
        <v>2923000</v>
      </c>
      <c r="AF19" s="38" t="n">
        <v>2463000</v>
      </c>
      <c r="AG19" s="38" t="n">
        <v>2983000</v>
      </c>
      <c r="AH19" s="38" t="n">
        <f aca="false">AG19-AE19</f>
        <v>60000</v>
      </c>
      <c r="AI19" s="39" t="n">
        <f aca="false">IF(AE19=0,"",AH19/AE19)</f>
        <v>0.0205268559698939</v>
      </c>
      <c r="AJ19" s="40" t="str">
        <f aca="false">IF(AI19="","",IF(AI19&gt;=0.15,"STRONG",IF(AI19&gt;=0.1,"FILE",IF(AI19&gt;=0.07,"INVESTIGATE","PASS"))))</f>
        <v>PASS</v>
      </c>
    </row>
    <row r="20" customFormat="false" ht="15" hidden="false" customHeight="false" outlineLevel="0" collapsed="false">
      <c r="A20" s="29" t="s">
        <v>232</v>
      </c>
      <c r="B20" s="6" t="s">
        <v>233</v>
      </c>
      <c r="C20" s="6" t="s">
        <v>234</v>
      </c>
      <c r="D20" s="30" t="n">
        <v>23831</v>
      </c>
      <c r="E20" s="31" t="s">
        <v>153</v>
      </c>
      <c r="F20" s="6" t="s">
        <v>235</v>
      </c>
      <c r="G20" s="31" t="n">
        <v>112208</v>
      </c>
      <c r="H20" s="6" t="n">
        <v>2</v>
      </c>
      <c r="J20" s="8" t="n">
        <v>46178</v>
      </c>
      <c r="K20" s="42" t="n">
        <v>46361</v>
      </c>
      <c r="N20" s="8"/>
      <c r="O20" s="6" t="s">
        <v>216</v>
      </c>
      <c r="P20" s="6" t="s">
        <v>236</v>
      </c>
      <c r="Q20" s="6" t="n">
        <v>8047481201</v>
      </c>
      <c r="R20" s="41" t="s">
        <v>237</v>
      </c>
      <c r="S20" s="35" t="n">
        <v>0</v>
      </c>
      <c r="T20" s="36" t="s">
        <v>238</v>
      </c>
      <c r="U20" s="35" t="n">
        <v>3828</v>
      </c>
      <c r="V20" s="36" t="s">
        <v>239</v>
      </c>
      <c r="W20" s="37" t="s">
        <v>237</v>
      </c>
      <c r="X20" s="37"/>
      <c r="Y20" s="37"/>
      <c r="Z20" s="37" t="s">
        <v>99</v>
      </c>
      <c r="AA20" s="38" t="n">
        <v>946000</v>
      </c>
      <c r="AB20" s="38" t="n">
        <v>823000</v>
      </c>
      <c r="AC20" s="38" t="n">
        <v>699000</v>
      </c>
      <c r="AD20" s="38" t="n">
        <v>956000</v>
      </c>
      <c r="AE20" s="38" t="n">
        <v>829000</v>
      </c>
      <c r="AF20" s="38" t="n">
        <v>680000</v>
      </c>
      <c r="AG20" s="38" t="n">
        <v>988000</v>
      </c>
      <c r="AH20" s="38" t="n">
        <f aca="false">AG20-AE20</f>
        <v>159000</v>
      </c>
      <c r="AI20" s="39" t="n">
        <f aca="false">IF(AE20=0,"",AH20/AE20)</f>
        <v>0.191797346200241</v>
      </c>
      <c r="AJ20" s="40" t="str">
        <f aca="false">IF(AI20="","",IF(AI20&gt;=0.15,"STRONG",IF(AI20&gt;=0.1,"FILE",IF(AI20&gt;=0.07,"INVESTIGATE","PASS"))))</f>
        <v>STRONG</v>
      </c>
    </row>
    <row r="21" customFormat="false" ht="15" hidden="false" customHeight="false" outlineLevel="0" collapsed="false">
      <c r="A21" s="29" t="s">
        <v>240</v>
      </c>
      <c r="B21" s="6" t="s">
        <v>241</v>
      </c>
      <c r="C21" s="6" t="s">
        <v>234</v>
      </c>
      <c r="D21" s="30" t="n">
        <v>23451</v>
      </c>
      <c r="E21" s="31" t="s">
        <v>153</v>
      </c>
      <c r="F21" s="6" t="s">
        <v>242</v>
      </c>
      <c r="G21" s="31" t="n">
        <v>14991959880000</v>
      </c>
      <c r="H21" s="6" t="n">
        <v>2</v>
      </c>
      <c r="J21" s="8" t="n">
        <v>46178</v>
      </c>
      <c r="K21" s="42" t="n">
        <v>46361</v>
      </c>
      <c r="N21" s="8"/>
      <c r="O21" s="6" t="s">
        <v>216</v>
      </c>
      <c r="P21" s="6" t="s">
        <v>243</v>
      </c>
      <c r="Q21" s="6" t="n">
        <v>7573854445</v>
      </c>
      <c r="R21" s="41" t="s">
        <v>244</v>
      </c>
      <c r="S21" s="35" t="n">
        <v>0</v>
      </c>
      <c r="T21" s="36" t="s">
        <v>97</v>
      </c>
      <c r="U21" s="35" t="n">
        <v>6574</v>
      </c>
      <c r="V21" s="36" t="s">
        <v>188</v>
      </c>
      <c r="W21" s="37" t="s">
        <v>244</v>
      </c>
      <c r="X21" s="37" t="s">
        <v>245</v>
      </c>
      <c r="Y21" s="37"/>
      <c r="Z21" s="37" t="s">
        <v>99</v>
      </c>
      <c r="AA21" s="38" t="n">
        <v>1427000</v>
      </c>
      <c r="AB21" s="38" t="n">
        <v>1241000</v>
      </c>
      <c r="AC21" s="38" t="n">
        <v>1054000</v>
      </c>
      <c r="AD21" s="38" t="n">
        <v>1448000</v>
      </c>
      <c r="AE21" s="38" t="n">
        <v>1256000</v>
      </c>
      <c r="AF21" s="38" t="n">
        <v>1034000</v>
      </c>
      <c r="AG21" s="38" t="n">
        <v>1391000</v>
      </c>
      <c r="AH21" s="38" t="n">
        <f aca="false">AG21-AE21</f>
        <v>135000</v>
      </c>
      <c r="AI21" s="39" t="n">
        <f aca="false">IF(AE21=0,"",AH21/AE21)</f>
        <v>0.107484076433121</v>
      </c>
      <c r="AJ21" s="40" t="str">
        <f aca="false">IF(AI21="","",IF(AI21&gt;=0.15,"STRONG",IF(AI21&gt;=0.1,"FILE",IF(AI21&gt;=0.07,"INVESTIGATE","PASS"))))</f>
        <v>FILE</v>
      </c>
    </row>
    <row r="22" customFormat="false" ht="15" hidden="false" customHeight="false" outlineLevel="0" collapsed="false">
      <c r="A22" s="29" t="s">
        <v>246</v>
      </c>
      <c r="B22" s="6" t="s">
        <v>247</v>
      </c>
      <c r="C22" s="6" t="s">
        <v>248</v>
      </c>
      <c r="D22" s="30" t="n">
        <v>18966</v>
      </c>
      <c r="E22" s="31" t="s">
        <v>249</v>
      </c>
      <c r="F22" s="6" t="s">
        <v>250</v>
      </c>
      <c r="G22" s="31"/>
      <c r="J22" s="8" t="n">
        <v>46203</v>
      </c>
      <c r="K22" s="8" t="n">
        <v>46326</v>
      </c>
      <c r="N22" s="8"/>
      <c r="O22" s="6" t="s">
        <v>251</v>
      </c>
      <c r="S22" s="35" t="n">
        <v>0</v>
      </c>
      <c r="T22" s="36" t="s">
        <v>196</v>
      </c>
      <c r="U22" s="35" t="n">
        <v>3487</v>
      </c>
      <c r="V22" s="36" t="s">
        <v>229</v>
      </c>
      <c r="W22" s="37" t="s">
        <v>252</v>
      </c>
      <c r="X22" s="37"/>
      <c r="Y22" s="37" t="s">
        <v>253</v>
      </c>
      <c r="Z22" s="37" t="s">
        <v>99</v>
      </c>
      <c r="AA22" s="38" t="n">
        <v>1788000</v>
      </c>
      <c r="AB22" s="38" t="n">
        <v>1555000</v>
      </c>
      <c r="AC22" s="38" t="n">
        <v>1321000</v>
      </c>
      <c r="AD22" s="38" t="n">
        <v>1834000</v>
      </c>
      <c r="AE22" s="38" t="n">
        <v>1529000</v>
      </c>
      <c r="AF22" s="38" t="n">
        <v>1338000</v>
      </c>
      <c r="AG22" s="38" t="n">
        <v>1680000</v>
      </c>
      <c r="AH22" s="38" t="n">
        <f aca="false">AG22-AE22</f>
        <v>151000</v>
      </c>
      <c r="AI22" s="39" t="n">
        <f aca="false">IF(AE22=0,"",AH22/AE22)</f>
        <v>0.0987573577501635</v>
      </c>
      <c r="AJ22" s="40" t="str">
        <f aca="false">IF(AI22="","",IF(AI22&gt;=0.15,"STRONG",IF(AI22&gt;=0.1,"FILE",IF(AI22&gt;=0.07,"INVESTIGATE","PASS"))))</f>
        <v>INVESTIGATE</v>
      </c>
    </row>
    <row r="23" customFormat="false" ht="15" hidden="false" customHeight="false" outlineLevel="0" collapsed="false">
      <c r="A23" s="29" t="s">
        <v>254</v>
      </c>
      <c r="B23" s="6" t="s">
        <v>255</v>
      </c>
      <c r="C23" s="6" t="s">
        <v>256</v>
      </c>
      <c r="D23" s="30" t="n">
        <v>30084</v>
      </c>
      <c r="E23" s="31" t="s">
        <v>153</v>
      </c>
      <c r="F23" s="6" t="s">
        <v>257</v>
      </c>
      <c r="G23" s="31" t="s">
        <v>258</v>
      </c>
      <c r="H23" s="6" t="n">
        <v>2</v>
      </c>
      <c r="J23" s="8" t="n">
        <v>46295</v>
      </c>
      <c r="K23" s="8" t="n">
        <v>46341</v>
      </c>
      <c r="O23" s="6" t="s">
        <v>259</v>
      </c>
      <c r="P23" s="6" t="s">
        <v>260</v>
      </c>
      <c r="Q23" s="6" t="n">
        <v>4042984000</v>
      </c>
      <c r="R23" s="41" t="s">
        <v>261</v>
      </c>
      <c r="S23" s="35" t="n">
        <v>0</v>
      </c>
      <c r="T23" s="36" t="s">
        <v>262</v>
      </c>
      <c r="U23" s="35" t="n">
        <v>14990</v>
      </c>
      <c r="V23" s="36" t="s">
        <v>263</v>
      </c>
      <c r="W23" s="37" t="s">
        <v>261</v>
      </c>
      <c r="X23" s="37"/>
      <c r="Y23" s="37"/>
      <c r="Z23" s="37" t="s">
        <v>99</v>
      </c>
      <c r="AA23" s="38" t="n">
        <v>2650000</v>
      </c>
      <c r="AB23" s="38" t="n">
        <v>2305000</v>
      </c>
      <c r="AC23" s="38" t="n">
        <v>1959000</v>
      </c>
      <c r="AD23" s="38" t="n">
        <v>2600000</v>
      </c>
      <c r="AE23" s="38" t="n">
        <v>2363000</v>
      </c>
      <c r="AF23" s="38" t="n">
        <v>1905000</v>
      </c>
      <c r="AG23" s="38" t="n">
        <v>2352000</v>
      </c>
      <c r="AH23" s="38" t="n">
        <f aca="false">AG23-AE23</f>
        <v>-11000</v>
      </c>
      <c r="AI23" s="39" t="n">
        <f aca="false">IF(AE23=0,"",AH23/AE23)</f>
        <v>-0.00465509944985188</v>
      </c>
      <c r="AJ23" s="40" t="str">
        <f aca="false">IF(AI23="","",IF(AI23&gt;=0.15,"STRONG",IF(AI23&gt;=0.1,"FILE",IF(AI23&gt;=0.07,"INVESTIGATE","PASS"))))</f>
        <v>PASS</v>
      </c>
    </row>
    <row r="24" customFormat="false" ht="15" hidden="false" customHeight="false" outlineLevel="0" collapsed="false">
      <c r="A24" s="29" t="s">
        <v>264</v>
      </c>
      <c r="B24" s="6" t="s">
        <v>265</v>
      </c>
      <c r="C24" s="6" t="s">
        <v>256</v>
      </c>
      <c r="D24" s="30" t="n">
        <v>31907</v>
      </c>
      <c r="E24" s="31" t="s">
        <v>153</v>
      </c>
      <c r="F24" s="6" t="s">
        <v>266</v>
      </c>
      <c r="G24" s="31" t="s">
        <v>267</v>
      </c>
      <c r="H24" s="6" t="n">
        <v>2</v>
      </c>
      <c r="J24" s="8" t="n">
        <v>46296</v>
      </c>
      <c r="K24" s="8" t="n">
        <v>46358</v>
      </c>
      <c r="N24" s="8"/>
      <c r="O24" s="6" t="s">
        <v>216</v>
      </c>
      <c r="P24" s="6" t="s">
        <v>268</v>
      </c>
      <c r="Q24" s="6" t="n">
        <v>7066534211</v>
      </c>
      <c r="R24" s="41" t="s">
        <v>269</v>
      </c>
      <c r="S24" s="35" t="n">
        <v>0</v>
      </c>
      <c r="T24" s="36" t="s">
        <v>270</v>
      </c>
      <c r="U24" s="35" t="n">
        <v>16930</v>
      </c>
      <c r="V24" s="36" t="s">
        <v>197</v>
      </c>
      <c r="W24" s="37" t="s">
        <v>269</v>
      </c>
      <c r="X24" s="37"/>
      <c r="Y24" s="37"/>
      <c r="Z24" s="37" t="s">
        <v>99</v>
      </c>
      <c r="AA24" s="38" t="n">
        <v>3514000</v>
      </c>
      <c r="AB24" s="38" t="n">
        <v>3056000</v>
      </c>
      <c r="AC24" s="38" t="n">
        <v>2597000</v>
      </c>
      <c r="AD24" s="38" t="n">
        <v>3471000</v>
      </c>
      <c r="AE24" s="38" t="n">
        <v>3007000</v>
      </c>
      <c r="AF24" s="38" t="n">
        <v>2670000</v>
      </c>
      <c r="AG24" s="38" t="n">
        <v>3668000</v>
      </c>
      <c r="AH24" s="38" t="n">
        <f aca="false">AG24-AE24</f>
        <v>661000</v>
      </c>
      <c r="AI24" s="39" t="n">
        <f aca="false">IF(AE24=0,"",AH24/AE24)</f>
        <v>0.219820419022281</v>
      </c>
      <c r="AJ24" s="40" t="str">
        <f aca="false">IF(AI24="","",IF(AI24&gt;=0.15,"STRONG",IF(AI24&gt;=0.1,"FILE",IF(AI24&gt;=0.07,"INVESTIGATE","PASS"))))</f>
        <v>STRONG</v>
      </c>
    </row>
    <row r="25" customFormat="false" ht="15" hidden="false" customHeight="false" outlineLevel="0" collapsed="false">
      <c r="A25" s="29" t="s">
        <v>271</v>
      </c>
      <c r="B25" s="6" t="s">
        <v>272</v>
      </c>
      <c r="C25" s="6" t="s">
        <v>256</v>
      </c>
      <c r="D25" s="30" t="n">
        <v>30324</v>
      </c>
      <c r="E25" s="31" t="s">
        <v>153</v>
      </c>
      <c r="F25" s="6" t="s">
        <v>273</v>
      </c>
      <c r="G25" s="31" t="s">
        <v>274</v>
      </c>
      <c r="H25" s="6" t="n">
        <v>2</v>
      </c>
      <c r="J25" s="8" t="n">
        <v>46326</v>
      </c>
      <c r="K25" s="8" t="n">
        <v>46341</v>
      </c>
      <c r="N25" s="8"/>
      <c r="O25" s="6" t="s">
        <v>216</v>
      </c>
      <c r="P25" s="6" t="s">
        <v>275</v>
      </c>
      <c r="Q25" s="6" t="n">
        <v>4046136100</v>
      </c>
      <c r="R25" s="41" t="s">
        <v>276</v>
      </c>
      <c r="S25" s="35" t="n">
        <v>0</v>
      </c>
      <c r="T25" s="36" t="s">
        <v>277</v>
      </c>
      <c r="U25" s="35" t="n">
        <v>21761</v>
      </c>
      <c r="V25" s="36" t="s">
        <v>115</v>
      </c>
      <c r="W25" s="37" t="s">
        <v>276</v>
      </c>
      <c r="X25" s="37"/>
      <c r="Y25" s="37"/>
      <c r="Z25" s="37" t="s">
        <v>99</v>
      </c>
      <c r="AA25" s="38" t="n">
        <v>622000</v>
      </c>
      <c r="AB25" s="38" t="n">
        <v>541000</v>
      </c>
      <c r="AC25" s="38" t="n">
        <v>459000</v>
      </c>
      <c r="AD25" s="38" t="n">
        <v>615000</v>
      </c>
      <c r="AE25" s="38" t="n">
        <v>557000</v>
      </c>
      <c r="AF25" s="38" t="n">
        <v>461000</v>
      </c>
      <c r="AG25" s="38" t="n">
        <v>607000</v>
      </c>
      <c r="AH25" s="38" t="n">
        <f aca="false">AG25-AE25</f>
        <v>50000</v>
      </c>
      <c r="AI25" s="39" t="n">
        <f aca="false">IF(AE25=0,"",AH25/AE25)</f>
        <v>0.0897666068222621</v>
      </c>
      <c r="AJ25" s="40" t="str">
        <f aca="false">IF(AI25="","",IF(AI25&gt;=0.15,"STRONG",IF(AI25&gt;=0.1,"FILE",IF(AI25&gt;=0.07,"INVESTIGATE","PASS"))))</f>
        <v>INVESTIGATE</v>
      </c>
    </row>
    <row r="26" customFormat="false" ht="15" hidden="false" customHeight="false" outlineLevel="0" collapsed="false">
      <c r="A26" s="29" t="s">
        <v>278</v>
      </c>
      <c r="B26" s="6" t="s">
        <v>279</v>
      </c>
      <c r="C26" s="6" t="s">
        <v>280</v>
      </c>
      <c r="D26" s="30" t="n">
        <v>8033</v>
      </c>
      <c r="E26" s="31" t="s">
        <v>153</v>
      </c>
      <c r="F26" s="6" t="s">
        <v>281</v>
      </c>
      <c r="G26" s="31" t="s">
        <v>282</v>
      </c>
      <c r="H26" s="6" t="n">
        <v>4</v>
      </c>
      <c r="J26" s="8" t="n">
        <v>46327</v>
      </c>
      <c r="K26" s="8" t="n">
        <v>46419</v>
      </c>
      <c r="L26" s="8" t="n">
        <v>46143</v>
      </c>
      <c r="M26" s="9" t="n">
        <v>46235</v>
      </c>
      <c r="O26" s="6" t="s">
        <v>283</v>
      </c>
      <c r="P26" s="6" t="s">
        <v>284</v>
      </c>
      <c r="Q26" s="6" t="s">
        <v>285</v>
      </c>
      <c r="R26" s="41" t="s">
        <v>286</v>
      </c>
      <c r="S26" s="35" t="n">
        <v>60960</v>
      </c>
      <c r="T26" s="43"/>
      <c r="U26" s="43"/>
      <c r="V26" s="43"/>
      <c r="W26" s="37" t="s">
        <v>286</v>
      </c>
      <c r="X26" s="37"/>
      <c r="Y26" s="37"/>
      <c r="Z26" s="37" t="s">
        <v>99</v>
      </c>
      <c r="AA26" s="38" t="n">
        <v>3654000</v>
      </c>
      <c r="AB26" s="38" t="n">
        <v>3178000</v>
      </c>
      <c r="AC26" s="38" t="n">
        <v>2701000</v>
      </c>
      <c r="AD26" s="38" t="n">
        <v>3606000</v>
      </c>
      <c r="AE26" s="38" t="n">
        <v>3093000</v>
      </c>
      <c r="AF26" s="38" t="n">
        <v>2652000</v>
      </c>
      <c r="AG26" s="38" t="n">
        <v>3433000</v>
      </c>
      <c r="AH26" s="38" t="n">
        <f aca="false">AG26-AE26</f>
        <v>340000</v>
      </c>
      <c r="AI26" s="39" t="n">
        <f aca="false">IF(AE26=0,"",AH26/AE26)</f>
        <v>0.109925638538636</v>
      </c>
      <c r="AJ26" s="40" t="str">
        <f aca="false">IF(AI26="","",IF(AI26&gt;=0.15,"STRONG",IF(AI26&gt;=0.1,"FILE",IF(AI26&gt;=0.07,"INVESTIGATE","PASS"))))</f>
        <v>FILE</v>
      </c>
    </row>
    <row r="27" customFormat="false" ht="15" hidden="false" customHeight="false" outlineLevel="0" collapsed="false">
      <c r="A27" s="29" t="s">
        <v>287</v>
      </c>
      <c r="B27" s="6" t="s">
        <v>288</v>
      </c>
      <c r="C27" s="6" t="s">
        <v>172</v>
      </c>
      <c r="D27" s="30" t="n">
        <v>94533</v>
      </c>
      <c r="E27" s="31" t="s">
        <v>289</v>
      </c>
      <c r="F27" s="6" t="s">
        <v>290</v>
      </c>
      <c r="G27" s="31" t="n">
        <v>28123030</v>
      </c>
      <c r="H27" s="6" t="n">
        <v>2</v>
      </c>
      <c r="J27" s="42" t="n">
        <v>46366</v>
      </c>
      <c r="K27" s="42" t="n">
        <v>46487</v>
      </c>
      <c r="L27" s="42"/>
      <c r="O27" s="6" t="s">
        <v>291</v>
      </c>
      <c r="P27" s="6" t="s">
        <v>292</v>
      </c>
      <c r="Q27" s="6" t="n">
        <v>7077847485</v>
      </c>
      <c r="R27" s="41" t="s">
        <v>293</v>
      </c>
      <c r="S27" s="35" t="n">
        <v>0</v>
      </c>
      <c r="T27" s="36" t="s">
        <v>294</v>
      </c>
      <c r="U27" s="35" t="n">
        <v>22143</v>
      </c>
      <c r="V27" s="36" t="s">
        <v>295</v>
      </c>
      <c r="W27" s="37" t="s">
        <v>293</v>
      </c>
      <c r="X27" s="37"/>
      <c r="Y27" s="37"/>
      <c r="Z27" s="37" t="s">
        <v>99</v>
      </c>
      <c r="AA27" s="38" t="n">
        <v>1833000</v>
      </c>
      <c r="AB27" s="38" t="n">
        <v>1594000</v>
      </c>
      <c r="AC27" s="38" t="n">
        <v>1354000</v>
      </c>
      <c r="AD27" s="38" t="n">
        <v>1821000</v>
      </c>
      <c r="AE27" s="38" t="n">
        <v>1559000</v>
      </c>
      <c r="AF27" s="38" t="n">
        <v>1356000</v>
      </c>
      <c r="AG27" s="38" t="n">
        <v>1626000</v>
      </c>
      <c r="AH27" s="38" t="n">
        <f aca="false">AG27-AE27</f>
        <v>67000</v>
      </c>
      <c r="AI27" s="39" t="n">
        <f aca="false">IF(AE27=0,"",AH27/AE27)</f>
        <v>0.0429762668377165</v>
      </c>
      <c r="AJ27" s="40" t="str">
        <f aca="false">IF(AI27="","",IF(AI27&gt;=0.15,"STRONG",IF(AI27&gt;=0.1,"FILE",IF(AI27&gt;=0.07,"INVESTIGATE","PASS"))))</f>
        <v>PASS</v>
      </c>
    </row>
    <row r="28" customFormat="false" ht="15" hidden="false" customHeight="false" outlineLevel="0" collapsed="false">
      <c r="A28" s="29" t="s">
        <v>296</v>
      </c>
      <c r="B28" s="6" t="s">
        <v>288</v>
      </c>
      <c r="C28" s="6" t="s">
        <v>172</v>
      </c>
      <c r="D28" s="30" t="n">
        <v>94533</v>
      </c>
      <c r="E28" s="31" t="s">
        <v>297</v>
      </c>
      <c r="F28" s="6" t="s">
        <v>298</v>
      </c>
      <c r="G28" s="31"/>
      <c r="J28" s="42" t="n">
        <v>46366</v>
      </c>
      <c r="K28" s="42" t="n">
        <v>46487</v>
      </c>
      <c r="L28" s="42"/>
      <c r="O28" s="6" t="s">
        <v>291</v>
      </c>
      <c r="P28" s="6" t="s">
        <v>292</v>
      </c>
      <c r="Q28" s="6" t="n">
        <v>7077847485</v>
      </c>
      <c r="R28" s="41" t="s">
        <v>293</v>
      </c>
      <c r="S28" s="35" t="n">
        <v>0</v>
      </c>
      <c r="T28" s="36" t="s">
        <v>294</v>
      </c>
      <c r="U28" s="35" t="n">
        <v>8021</v>
      </c>
      <c r="V28" s="36" t="s">
        <v>299</v>
      </c>
      <c r="W28" s="37" t="s">
        <v>293</v>
      </c>
      <c r="X28" s="37" t="s">
        <v>300</v>
      </c>
      <c r="Y28" s="37"/>
      <c r="Z28" s="37" t="s">
        <v>99</v>
      </c>
      <c r="AA28" s="38" t="n">
        <v>4788000</v>
      </c>
      <c r="AB28" s="38" t="n">
        <v>4164000</v>
      </c>
      <c r="AC28" s="38" t="n">
        <v>3539000</v>
      </c>
      <c r="AD28" s="38" t="n">
        <v>4673000</v>
      </c>
      <c r="AE28" s="38" t="n">
        <v>4078000</v>
      </c>
      <c r="AF28" s="38" t="n">
        <v>3576000</v>
      </c>
      <c r="AG28" s="38" t="n">
        <v>4997000</v>
      </c>
      <c r="AH28" s="38" t="n">
        <f aca="false">AG28-AE28</f>
        <v>919000</v>
      </c>
      <c r="AI28" s="39" t="n">
        <f aca="false">IF(AE28=0,"",AH28/AE28)</f>
        <v>0.225355566454144</v>
      </c>
      <c r="AJ28" s="40" t="str">
        <f aca="false">IF(AI28="","",IF(AI28&gt;=0.15,"STRONG",IF(AI28&gt;=0.1,"FILE",IF(AI28&gt;=0.07,"INVESTIGATE","PASS"))))</f>
        <v>STRONG</v>
      </c>
    </row>
    <row r="29" customFormat="false" ht="15" hidden="false" customHeight="false" outlineLevel="0" collapsed="false">
      <c r="A29" s="29" t="s">
        <v>301</v>
      </c>
      <c r="B29" s="6" t="s">
        <v>288</v>
      </c>
      <c r="C29" s="6" t="s">
        <v>172</v>
      </c>
      <c r="D29" s="30" t="n">
        <v>94533</v>
      </c>
      <c r="E29" s="31" t="s">
        <v>297</v>
      </c>
      <c r="F29" s="6" t="s">
        <v>302</v>
      </c>
      <c r="G29" s="31" t="n">
        <v>28123120</v>
      </c>
      <c r="H29" s="6" t="n">
        <v>2</v>
      </c>
      <c r="J29" s="42" t="n">
        <v>46366</v>
      </c>
      <c r="K29" s="42" t="n">
        <v>46487</v>
      </c>
      <c r="L29" s="42"/>
      <c r="N29" s="8"/>
      <c r="O29" s="6" t="s">
        <v>291</v>
      </c>
      <c r="P29" s="6" t="s">
        <v>292</v>
      </c>
      <c r="Q29" s="6" t="n">
        <v>7077847485</v>
      </c>
      <c r="R29" s="41" t="s">
        <v>293</v>
      </c>
      <c r="S29" s="35" t="n">
        <v>0</v>
      </c>
      <c r="T29" s="36" t="s">
        <v>105</v>
      </c>
      <c r="U29" s="35" t="n">
        <v>23221</v>
      </c>
      <c r="V29" s="36" t="s">
        <v>303</v>
      </c>
      <c r="W29" s="37" t="s">
        <v>293</v>
      </c>
      <c r="X29" s="37"/>
      <c r="Y29" s="37"/>
      <c r="Z29" s="37" t="s">
        <v>99</v>
      </c>
      <c r="AA29" s="38" t="n">
        <v>2458000</v>
      </c>
      <c r="AB29" s="38" t="n">
        <v>2138000</v>
      </c>
      <c r="AC29" s="38" t="n">
        <v>1817000</v>
      </c>
      <c r="AD29" s="38" t="n">
        <v>2417000</v>
      </c>
      <c r="AE29" s="38" t="n">
        <v>2164000</v>
      </c>
      <c r="AF29" s="38" t="n">
        <v>1805000</v>
      </c>
      <c r="AG29" s="38" t="n">
        <v>2395000</v>
      </c>
      <c r="AH29" s="38" t="n">
        <f aca="false">AG29-AE29</f>
        <v>231000</v>
      </c>
      <c r="AI29" s="39" t="n">
        <f aca="false">IF(AE29=0,"",AH29/AE29)</f>
        <v>0.106746765249538</v>
      </c>
      <c r="AJ29" s="40" t="str">
        <f aca="false">IF(AI29="","",IF(AI29&gt;=0.15,"STRONG",IF(AI29&gt;=0.1,"FILE",IF(AI29&gt;=0.07,"INVESTIGATE","PASS"))))</f>
        <v>FILE</v>
      </c>
    </row>
    <row r="30" customFormat="false" ht="15" hidden="false" customHeight="false" outlineLevel="0" collapsed="false">
      <c r="A30" s="29" t="s">
        <v>304</v>
      </c>
      <c r="B30" s="6" t="s">
        <v>305</v>
      </c>
      <c r="C30" s="6" t="s">
        <v>172</v>
      </c>
      <c r="D30" s="30" t="n">
        <v>95667</v>
      </c>
      <c r="E30" s="31" t="s">
        <v>153</v>
      </c>
      <c r="F30" s="6" t="s">
        <v>306</v>
      </c>
      <c r="G30" s="31" t="s">
        <v>307</v>
      </c>
      <c r="H30" s="6" t="n">
        <v>2</v>
      </c>
      <c r="J30" s="42" t="n">
        <v>46366</v>
      </c>
      <c r="K30" s="8" t="n">
        <v>46487</v>
      </c>
      <c r="N30" s="8"/>
      <c r="O30" s="6" t="s">
        <v>216</v>
      </c>
      <c r="P30" s="6" t="s">
        <v>308</v>
      </c>
      <c r="Q30" s="6" t="n">
        <v>5306215800</v>
      </c>
      <c r="R30" s="41" t="s">
        <v>309</v>
      </c>
      <c r="S30" s="35" t="n">
        <v>0</v>
      </c>
      <c r="T30" s="36" t="s">
        <v>310</v>
      </c>
      <c r="U30" s="35" t="n">
        <v>7243</v>
      </c>
      <c r="V30" s="36" t="s">
        <v>303</v>
      </c>
      <c r="W30" s="37" t="s">
        <v>309</v>
      </c>
      <c r="X30" s="37"/>
      <c r="Y30" s="37"/>
      <c r="Z30" s="37" t="s">
        <v>99</v>
      </c>
      <c r="AA30" s="38" t="n">
        <v>1662000</v>
      </c>
      <c r="AB30" s="38" t="n">
        <v>1446000</v>
      </c>
      <c r="AC30" s="38" t="n">
        <v>1229000</v>
      </c>
      <c r="AD30" s="38" t="n">
        <v>1633000</v>
      </c>
      <c r="AE30" s="38" t="n">
        <v>1435000</v>
      </c>
      <c r="AF30" s="38" t="n">
        <v>1218000</v>
      </c>
      <c r="AG30" s="38" t="n">
        <v>1562000</v>
      </c>
      <c r="AH30" s="38" t="n">
        <f aca="false">AG30-AE30</f>
        <v>127000</v>
      </c>
      <c r="AI30" s="39" t="n">
        <f aca="false">IF(AE30=0,"",AH30/AE30)</f>
        <v>0.0885017421602787</v>
      </c>
      <c r="AJ30" s="40" t="str">
        <f aca="false">IF(AI30="","",IF(AI30&gt;=0.15,"STRONG",IF(AI30&gt;=0.1,"FILE",IF(AI30&gt;=0.07,"INVESTIGATE","PASS"))))</f>
        <v>INVESTIGATE</v>
      </c>
    </row>
    <row r="31" customFormat="false" ht="15" hidden="false" customHeight="false" outlineLevel="0" collapsed="false">
      <c r="A31" s="29" t="s">
        <v>311</v>
      </c>
      <c r="B31" s="6" t="s">
        <v>312</v>
      </c>
      <c r="C31" s="6" t="s">
        <v>172</v>
      </c>
      <c r="D31" s="30" t="n">
        <v>95661</v>
      </c>
      <c r="E31" s="31" t="s">
        <v>153</v>
      </c>
      <c r="F31" s="6" t="s">
        <v>313</v>
      </c>
      <c r="G31" s="31" t="s">
        <v>314</v>
      </c>
      <c r="H31" s="6" t="n">
        <v>2</v>
      </c>
      <c r="J31" s="42" t="n">
        <v>46366</v>
      </c>
      <c r="K31" s="8" t="n">
        <v>46487</v>
      </c>
      <c r="N31" s="8"/>
      <c r="O31" s="6" t="s">
        <v>216</v>
      </c>
      <c r="P31" s="6" t="s">
        <v>315</v>
      </c>
      <c r="Q31" s="6" t="n">
        <v>5308894120</v>
      </c>
      <c r="R31" s="41" t="s">
        <v>316</v>
      </c>
      <c r="S31" s="35" t="n">
        <v>0</v>
      </c>
      <c r="T31" s="36" t="s">
        <v>317</v>
      </c>
      <c r="U31" s="35" t="n">
        <v>22322</v>
      </c>
      <c r="V31" s="36" t="s">
        <v>318</v>
      </c>
      <c r="W31" s="37" t="s">
        <v>316</v>
      </c>
      <c r="X31" s="37"/>
      <c r="Y31" s="37"/>
      <c r="Z31" s="37" t="s">
        <v>99</v>
      </c>
      <c r="AA31" s="38" t="n">
        <v>813000</v>
      </c>
      <c r="AB31" s="38" t="n">
        <v>707000</v>
      </c>
      <c r="AC31" s="38" t="n">
        <v>600000</v>
      </c>
      <c r="AD31" s="38" t="n">
        <v>811000</v>
      </c>
      <c r="AE31" s="38" t="n">
        <v>718000</v>
      </c>
      <c r="AF31" s="38" t="n">
        <v>585000</v>
      </c>
      <c r="AG31" s="38" t="n">
        <v>722000</v>
      </c>
      <c r="AH31" s="38" t="n">
        <f aca="false">AG31-AE31</f>
        <v>4000</v>
      </c>
      <c r="AI31" s="39" t="n">
        <f aca="false">IF(AE31=0,"",AH31/AE31)</f>
        <v>0.00557103064066852</v>
      </c>
      <c r="AJ31" s="40" t="str">
        <f aca="false">IF(AI31="","",IF(AI31&gt;=0.15,"STRONG",IF(AI31&gt;=0.1,"FILE",IF(AI31&gt;=0.07,"INVESTIGATE","PASS"))))</f>
        <v>PASS</v>
      </c>
    </row>
    <row r="32" customFormat="false" ht="15" hidden="false" customHeight="false" outlineLevel="0" collapsed="false">
      <c r="A32" s="29" t="s">
        <v>319</v>
      </c>
      <c r="B32" s="6" t="s">
        <v>320</v>
      </c>
      <c r="C32" s="6" t="s">
        <v>172</v>
      </c>
      <c r="D32" s="30" t="n">
        <v>95370</v>
      </c>
      <c r="E32" s="31" t="s">
        <v>153</v>
      </c>
      <c r="F32" s="6" t="s">
        <v>321</v>
      </c>
      <c r="G32" s="31" t="s">
        <v>322</v>
      </c>
      <c r="H32" s="6" t="n">
        <v>2</v>
      </c>
      <c r="J32" s="42" t="n">
        <v>46366</v>
      </c>
      <c r="K32" s="8" t="n">
        <v>46487</v>
      </c>
      <c r="N32" s="8"/>
      <c r="O32" s="6" t="s">
        <v>216</v>
      </c>
      <c r="P32" s="6" t="s">
        <v>323</v>
      </c>
      <c r="Q32" s="6" t="s">
        <v>324</v>
      </c>
      <c r="R32" s="41" t="s">
        <v>325</v>
      </c>
      <c r="S32" s="35" t="n">
        <v>0</v>
      </c>
      <c r="T32" s="36" t="s">
        <v>310</v>
      </c>
      <c r="U32" s="35" t="n">
        <v>24212</v>
      </c>
      <c r="V32" s="36" t="s">
        <v>326</v>
      </c>
      <c r="W32" s="37" t="s">
        <v>325</v>
      </c>
      <c r="X32" s="37"/>
      <c r="Y32" s="37"/>
      <c r="Z32" s="37" t="s">
        <v>99</v>
      </c>
      <c r="AA32" s="38" t="n">
        <v>786000</v>
      </c>
      <c r="AB32" s="38" t="n">
        <v>684000</v>
      </c>
      <c r="AC32" s="38" t="n">
        <v>581000</v>
      </c>
      <c r="AD32" s="38" t="n">
        <v>791000</v>
      </c>
      <c r="AE32" s="38" t="n">
        <v>684000</v>
      </c>
      <c r="AF32" s="38" t="n">
        <v>592000</v>
      </c>
      <c r="AG32" s="38" t="n">
        <v>821000</v>
      </c>
      <c r="AH32" s="38" t="n">
        <f aca="false">AG32-AE32</f>
        <v>137000</v>
      </c>
      <c r="AI32" s="39" t="n">
        <f aca="false">IF(AE32=0,"",AH32/AE32)</f>
        <v>0.200292397660819</v>
      </c>
      <c r="AJ32" s="40" t="str">
        <f aca="false">IF(AI32="","",IF(AI32&gt;=0.15,"STRONG",IF(AI32&gt;=0.1,"FILE",IF(AI32&gt;=0.07,"INVESTIGATE","PASS"))))</f>
        <v>STRONG</v>
      </c>
    </row>
    <row r="33" customFormat="false" ht="15" hidden="false" customHeight="false" outlineLevel="0" collapsed="false">
      <c r="A33" s="29" t="s">
        <v>327</v>
      </c>
      <c r="B33" s="6" t="s">
        <v>328</v>
      </c>
      <c r="C33" s="6" t="s">
        <v>329</v>
      </c>
      <c r="D33" s="30" t="n">
        <v>71303</v>
      </c>
      <c r="E33" s="31" t="s">
        <v>330</v>
      </c>
      <c r="F33" s="6" t="s">
        <v>331</v>
      </c>
      <c r="G33" s="31" t="n">
        <v>2401806960000300</v>
      </c>
      <c r="H33" s="6" t="n">
        <v>1</v>
      </c>
      <c r="J33" s="8" t="n">
        <v>46387</v>
      </c>
      <c r="O33" s="6" t="s">
        <v>332</v>
      </c>
      <c r="P33" s="6" t="s">
        <v>333</v>
      </c>
      <c r="Q33" s="6" t="n">
        <v>3184736740</v>
      </c>
      <c r="R33" s="41" t="s">
        <v>334</v>
      </c>
      <c r="S33" s="35" t="n">
        <v>0</v>
      </c>
      <c r="T33" s="36" t="s">
        <v>335</v>
      </c>
      <c r="U33" s="35" t="n">
        <v>23664</v>
      </c>
      <c r="V33" s="36" t="s">
        <v>299</v>
      </c>
      <c r="W33" s="37" t="s">
        <v>334</v>
      </c>
      <c r="X33" s="37"/>
      <c r="Y33" s="37" t="s">
        <v>336</v>
      </c>
      <c r="Z33" s="37" t="s">
        <v>99</v>
      </c>
      <c r="AA33" s="38" t="n">
        <v>5100000</v>
      </c>
      <c r="AB33" s="38" t="n">
        <v>4435000</v>
      </c>
      <c r="AC33" s="38" t="n">
        <v>3769000</v>
      </c>
      <c r="AD33" s="38" t="n">
        <v>5093000</v>
      </c>
      <c r="AE33" s="38" t="n">
        <v>4351000</v>
      </c>
      <c r="AF33" s="38" t="n">
        <v>3711000</v>
      </c>
      <c r="AG33" s="38" t="n">
        <v>4968000</v>
      </c>
      <c r="AH33" s="38" t="n">
        <f aca="false">AG33-AE33</f>
        <v>617000</v>
      </c>
      <c r="AI33" s="39" t="n">
        <f aca="false">IF(AE33=0,"",AH33/AE33)</f>
        <v>0.141806481268674</v>
      </c>
      <c r="AJ33" s="40" t="str">
        <f aca="false">IF(AI33="","",IF(AI33&gt;=0.15,"STRONG",IF(AI33&gt;=0.1,"FILE",IF(AI33&gt;=0.07,"INVESTIGATE","PASS"))))</f>
        <v>FILE</v>
      </c>
    </row>
    <row r="34" customFormat="false" ht="15" hidden="false" customHeight="false" outlineLevel="0" collapsed="false">
      <c r="A34" s="29" t="s">
        <v>337</v>
      </c>
      <c r="B34" s="6" t="s">
        <v>338</v>
      </c>
      <c r="C34" s="6" t="s">
        <v>329</v>
      </c>
      <c r="D34" s="30" t="n">
        <v>70815</v>
      </c>
      <c r="E34" s="31" t="s">
        <v>330</v>
      </c>
      <c r="F34" s="6" t="s">
        <v>339</v>
      </c>
      <c r="G34" s="31" t="n">
        <v>1094726</v>
      </c>
      <c r="H34" s="6" t="n">
        <v>1</v>
      </c>
      <c r="J34" s="8" t="n">
        <v>46387</v>
      </c>
      <c r="N34" s="8"/>
      <c r="O34" s="6" t="s">
        <v>332</v>
      </c>
      <c r="P34" s="6" t="s">
        <v>340</v>
      </c>
      <c r="Q34" s="6" t="n">
        <v>2253893920</v>
      </c>
      <c r="R34" s="41" t="s">
        <v>341</v>
      </c>
      <c r="S34" s="35" t="n">
        <v>0</v>
      </c>
      <c r="T34" s="36" t="s">
        <v>342</v>
      </c>
      <c r="U34" s="35" t="n">
        <v>21298</v>
      </c>
      <c r="V34" s="36" t="s">
        <v>115</v>
      </c>
      <c r="W34" s="37" t="s">
        <v>341</v>
      </c>
      <c r="X34" s="37"/>
      <c r="Y34" s="37"/>
      <c r="Z34" s="37" t="s">
        <v>99</v>
      </c>
      <c r="AA34" s="38" t="n">
        <v>3400000</v>
      </c>
      <c r="AB34" s="38" t="n">
        <v>2957000</v>
      </c>
      <c r="AC34" s="38" t="n">
        <v>2513000</v>
      </c>
      <c r="AD34" s="38" t="n">
        <v>3458000</v>
      </c>
      <c r="AE34" s="38" t="n">
        <v>2948000</v>
      </c>
      <c r="AF34" s="38" t="n">
        <v>2570000</v>
      </c>
      <c r="AG34" s="38" t="n">
        <v>3194000</v>
      </c>
      <c r="AH34" s="38" t="n">
        <f aca="false">AG34-AE34</f>
        <v>246000</v>
      </c>
      <c r="AI34" s="39" t="n">
        <f aca="false">IF(AE34=0,"",AH34/AE34)</f>
        <v>0.0834464043419267</v>
      </c>
      <c r="AJ34" s="40" t="str">
        <f aca="false">IF(AI34="","",IF(AI34&gt;=0.15,"STRONG",IF(AI34&gt;=0.1,"FILE",IF(AI34&gt;=0.07,"INVESTIGATE","PASS"))))</f>
        <v>INVESTIGATE</v>
      </c>
    </row>
    <row r="35" customFormat="false" ht="15" hidden="false" customHeight="false" outlineLevel="0" collapsed="false">
      <c r="A35" s="29" t="s">
        <v>343</v>
      </c>
      <c r="B35" s="6" t="s">
        <v>344</v>
      </c>
      <c r="C35" s="6" t="s">
        <v>329</v>
      </c>
      <c r="D35" s="30" t="n">
        <v>70605</v>
      </c>
      <c r="E35" s="31" t="s">
        <v>330</v>
      </c>
      <c r="F35" s="6" t="s">
        <v>345</v>
      </c>
      <c r="G35" s="31" t="s">
        <v>346</v>
      </c>
      <c r="H35" s="6" t="n">
        <v>1</v>
      </c>
      <c r="J35" s="8" t="n">
        <v>46387</v>
      </c>
      <c r="N35" s="8"/>
      <c r="O35" s="6" t="s">
        <v>332</v>
      </c>
      <c r="P35" s="6" t="s">
        <v>347</v>
      </c>
      <c r="Q35" s="6" t="n">
        <v>3374913680</v>
      </c>
      <c r="R35" s="41" t="s">
        <v>348</v>
      </c>
      <c r="S35" s="35" t="n">
        <v>0</v>
      </c>
      <c r="T35" s="36" t="s">
        <v>349</v>
      </c>
      <c r="U35" s="35" t="n">
        <v>23541</v>
      </c>
      <c r="V35" s="36" t="s">
        <v>318</v>
      </c>
      <c r="W35" s="37" t="s">
        <v>348</v>
      </c>
      <c r="X35" s="37" t="s">
        <v>350</v>
      </c>
      <c r="Y35" s="37"/>
      <c r="Z35" s="37" t="s">
        <v>99</v>
      </c>
      <c r="AA35" s="38" t="n">
        <v>1409000</v>
      </c>
      <c r="AB35" s="38" t="n">
        <v>1226000</v>
      </c>
      <c r="AC35" s="38" t="n">
        <v>1042000</v>
      </c>
      <c r="AD35" s="38" t="n">
        <v>1382000</v>
      </c>
      <c r="AE35" s="38" t="n">
        <v>1255000</v>
      </c>
      <c r="AF35" s="38" t="n">
        <v>1065000</v>
      </c>
      <c r="AG35" s="38" t="n">
        <v>1251000</v>
      </c>
      <c r="AH35" s="38" t="n">
        <f aca="false">AG35-AE35</f>
        <v>-4000</v>
      </c>
      <c r="AI35" s="39" t="n">
        <f aca="false">IF(AE35=0,"",AH35/AE35)</f>
        <v>-0.00318725099601594</v>
      </c>
      <c r="AJ35" s="40" t="str">
        <f aca="false">IF(AI35="","",IF(AI35&gt;=0.15,"STRONG",IF(AI35&gt;=0.1,"FILE",IF(AI35&gt;=0.07,"INVESTIGATE","PASS"))))</f>
        <v>PASS</v>
      </c>
    </row>
    <row r="36" customFormat="false" ht="15" hidden="false" customHeight="false" outlineLevel="0" collapsed="false">
      <c r="A36" s="29" t="s">
        <v>351</v>
      </c>
      <c r="B36" s="6" t="s">
        <v>352</v>
      </c>
      <c r="C36" s="6" t="s">
        <v>329</v>
      </c>
      <c r="D36" s="30" t="n">
        <v>70570</v>
      </c>
      <c r="E36" s="31" t="s">
        <v>330</v>
      </c>
      <c r="F36" s="6" t="s">
        <v>353</v>
      </c>
      <c r="G36" s="31" t="s">
        <v>354</v>
      </c>
      <c r="H36" s="6" t="n">
        <v>1</v>
      </c>
      <c r="J36" s="8" t="n">
        <v>46387</v>
      </c>
      <c r="O36" s="6" t="s">
        <v>332</v>
      </c>
      <c r="P36" s="6" t="s">
        <v>355</v>
      </c>
      <c r="Q36" s="6" t="n">
        <v>3379423166</v>
      </c>
      <c r="R36" s="41" t="s">
        <v>356</v>
      </c>
      <c r="S36" s="35" t="n">
        <v>0</v>
      </c>
      <c r="T36" s="36" t="s">
        <v>357</v>
      </c>
      <c r="U36" s="35" t="n">
        <v>20471</v>
      </c>
      <c r="V36" s="36" t="s">
        <v>358</v>
      </c>
      <c r="W36" s="37" t="s">
        <v>356</v>
      </c>
      <c r="X36" s="37"/>
      <c r="Y36" s="37"/>
      <c r="Z36" s="37" t="s">
        <v>99</v>
      </c>
      <c r="AA36" s="38" t="n">
        <v>3922000</v>
      </c>
      <c r="AB36" s="38" t="n">
        <v>3411000</v>
      </c>
      <c r="AC36" s="38" t="n">
        <v>2899000</v>
      </c>
      <c r="AD36" s="38" t="n">
        <v>3844000</v>
      </c>
      <c r="AE36" s="38" t="n">
        <v>3511000</v>
      </c>
      <c r="AF36" s="38" t="n">
        <v>2931000</v>
      </c>
      <c r="AG36" s="38" t="n">
        <v>4094000</v>
      </c>
      <c r="AH36" s="38" t="n">
        <f aca="false">AG36-AE36</f>
        <v>583000</v>
      </c>
      <c r="AI36" s="39" t="n">
        <f aca="false">IF(AE36=0,"",AH36/AE36)</f>
        <v>0.166049558530333</v>
      </c>
      <c r="AJ36" s="40" t="str">
        <f aca="false">IF(AI36="","",IF(AI36&gt;=0.15,"STRONG",IF(AI36&gt;=0.1,"FILE",IF(AI36&gt;=0.07,"INVESTIGATE","PASS"))))</f>
        <v>STRONG</v>
      </c>
    </row>
    <row r="37" customFormat="false" ht="15" hidden="false" customHeight="false" outlineLevel="0" collapsed="false">
      <c r="A37" s="29" t="s">
        <v>359</v>
      </c>
      <c r="B37" s="6" t="s">
        <v>360</v>
      </c>
      <c r="C37" s="6" t="s">
        <v>361</v>
      </c>
      <c r="D37" s="30" t="n">
        <v>42101</v>
      </c>
      <c r="E37" s="31" t="s">
        <v>213</v>
      </c>
      <c r="F37" s="6" t="s">
        <v>362</v>
      </c>
      <c r="G37" s="31" t="s">
        <v>363</v>
      </c>
      <c r="H37" s="6" t="n">
        <v>1</v>
      </c>
      <c r="J37" s="8" t="n">
        <v>46387</v>
      </c>
      <c r="N37" s="8"/>
      <c r="O37" s="6" t="s">
        <v>216</v>
      </c>
      <c r="R37" s="41" t="s">
        <v>364</v>
      </c>
      <c r="S37" s="35" t="n">
        <v>0</v>
      </c>
      <c r="T37" s="36" t="s">
        <v>365</v>
      </c>
      <c r="U37" s="35" t="n">
        <v>11286</v>
      </c>
      <c r="V37" s="36" t="s">
        <v>366</v>
      </c>
      <c r="W37" s="37" t="s">
        <v>364</v>
      </c>
      <c r="X37" s="37"/>
      <c r="Y37" s="37"/>
      <c r="Z37" s="37" t="s">
        <v>99</v>
      </c>
      <c r="AA37" s="38" t="n">
        <v>4069000</v>
      </c>
      <c r="AB37" s="38" t="n">
        <v>3539000</v>
      </c>
      <c r="AC37" s="38" t="n">
        <v>3008000</v>
      </c>
      <c r="AD37" s="38" t="n">
        <v>4184000</v>
      </c>
      <c r="AE37" s="38" t="n">
        <v>3623000</v>
      </c>
      <c r="AF37" s="38" t="n">
        <v>3015000</v>
      </c>
      <c r="AG37" s="38" t="n">
        <v>3964000</v>
      </c>
      <c r="AH37" s="38" t="n">
        <f aca="false">AG37-AE37</f>
        <v>341000</v>
      </c>
      <c r="AI37" s="39" t="n">
        <f aca="false">IF(AE37=0,"",AH37/AE37)</f>
        <v>0.0941208942865029</v>
      </c>
      <c r="AJ37" s="40" t="str">
        <f aca="false">IF(AI37="","",IF(AI37&gt;=0.15,"STRONG",IF(AI37&gt;=0.1,"FILE",IF(AI37&gt;=0.07,"INVESTIGATE","PASS"))))</f>
        <v>INVESTIGATE</v>
      </c>
    </row>
    <row r="38" customFormat="false" ht="15" hidden="false" customHeight="false" outlineLevel="0" collapsed="false">
      <c r="A38" s="29" t="s">
        <v>367</v>
      </c>
      <c r="B38" s="6" t="s">
        <v>360</v>
      </c>
      <c r="C38" s="6" t="s">
        <v>361</v>
      </c>
      <c r="D38" s="30" t="n">
        <v>42101</v>
      </c>
      <c r="E38" s="31" t="s">
        <v>213</v>
      </c>
      <c r="F38" s="6" t="s">
        <v>368</v>
      </c>
      <c r="G38" s="31" t="s">
        <v>369</v>
      </c>
      <c r="H38" s="6" t="n">
        <v>1</v>
      </c>
      <c r="J38" s="8" t="n">
        <v>46387</v>
      </c>
      <c r="N38" s="8"/>
      <c r="O38" s="6" t="s">
        <v>216</v>
      </c>
      <c r="R38" s="41" t="s">
        <v>364</v>
      </c>
      <c r="S38" s="35" t="n">
        <v>0</v>
      </c>
      <c r="T38" s="36" t="s">
        <v>370</v>
      </c>
      <c r="U38" s="35" t="n">
        <v>21063</v>
      </c>
      <c r="V38" s="36" t="s">
        <v>371</v>
      </c>
      <c r="W38" s="37" t="s">
        <v>364</v>
      </c>
      <c r="X38" s="37"/>
      <c r="Y38" s="37"/>
      <c r="Z38" s="37" t="s">
        <v>99</v>
      </c>
      <c r="AA38" s="38" t="n">
        <v>2383000</v>
      </c>
      <c r="AB38" s="38" t="n">
        <v>2073000</v>
      </c>
      <c r="AC38" s="38" t="n">
        <v>1762000</v>
      </c>
      <c r="AD38" s="38" t="n">
        <v>2402000</v>
      </c>
      <c r="AE38" s="38" t="n">
        <v>2037000</v>
      </c>
      <c r="AF38" s="38" t="n">
        <v>1796000</v>
      </c>
      <c r="AG38" s="38" t="n">
        <v>2239000</v>
      </c>
      <c r="AH38" s="38" t="n">
        <f aca="false">AG38-AE38</f>
        <v>202000</v>
      </c>
      <c r="AI38" s="39" t="n">
        <f aca="false">IF(AE38=0,"",AH38/AE38)</f>
        <v>0.0991654393716249</v>
      </c>
      <c r="AJ38" s="40" t="str">
        <f aca="false">IF(AI38="","",IF(AI38&gt;=0.15,"STRONG",IF(AI38&gt;=0.1,"FILE",IF(AI38&gt;=0.07,"INVESTIGATE","PASS"))))</f>
        <v>INVESTIGATE</v>
      </c>
    </row>
    <row r="39" customFormat="false" ht="15" hidden="false" customHeight="false" outlineLevel="0" collapsed="false">
      <c r="A39" s="45" t="s">
        <v>372</v>
      </c>
      <c r="B39" s="6" t="s">
        <v>373</v>
      </c>
      <c r="C39" s="6" t="s">
        <v>374</v>
      </c>
      <c r="D39" s="30" t="n">
        <v>27529</v>
      </c>
      <c r="E39" s="31" t="s">
        <v>153</v>
      </c>
      <c r="F39" s="6" t="s">
        <v>375</v>
      </c>
      <c r="G39" s="31" t="n">
        <v>229546</v>
      </c>
      <c r="H39" s="6" t="n">
        <v>1</v>
      </c>
      <c r="J39" s="8" t="n">
        <v>46393</v>
      </c>
      <c r="N39" s="8"/>
      <c r="O39" s="6" t="s">
        <v>376</v>
      </c>
      <c r="P39" s="6" t="s">
        <v>377</v>
      </c>
      <c r="Q39" s="6" t="n">
        <v>9198565400</v>
      </c>
      <c r="R39" s="41" t="s">
        <v>378</v>
      </c>
      <c r="S39" s="35" t="n">
        <v>57769</v>
      </c>
      <c r="T39" s="43"/>
      <c r="U39" s="43"/>
      <c r="V39" s="43"/>
      <c r="W39" s="37" t="s">
        <v>378</v>
      </c>
      <c r="X39" s="37"/>
      <c r="Y39" s="37"/>
      <c r="Z39" s="37" t="s">
        <v>99</v>
      </c>
      <c r="AA39" s="38" t="n">
        <v>4441000</v>
      </c>
      <c r="AB39" s="38" t="n">
        <v>3862000</v>
      </c>
      <c r="AC39" s="38" t="n">
        <v>3282000</v>
      </c>
      <c r="AD39" s="38" t="n">
        <v>4383000</v>
      </c>
      <c r="AE39" s="38" t="n">
        <v>3923000</v>
      </c>
      <c r="AF39" s="38" t="n">
        <v>3331000</v>
      </c>
      <c r="AG39" s="38" t="n">
        <v>3940000</v>
      </c>
      <c r="AH39" s="38" t="n">
        <f aca="false">AG39-AE39</f>
        <v>17000</v>
      </c>
      <c r="AI39" s="39" t="n">
        <f aca="false">IF(AE39=0,"",AH39/AE39)</f>
        <v>0.00433341830231965</v>
      </c>
      <c r="AJ39" s="40" t="str">
        <f aca="false">IF(AI39="","",IF(AI39&gt;=0.15,"STRONG",IF(AI39&gt;=0.1,"FILE",IF(AI39&gt;=0.07,"INVESTIGATE","PASS"))))</f>
        <v>PASS</v>
      </c>
    </row>
    <row r="40" customFormat="false" ht="15" hidden="false" customHeight="false" outlineLevel="0" collapsed="false">
      <c r="A40" s="29" t="s">
        <v>379</v>
      </c>
      <c r="B40" s="6" t="s">
        <v>380</v>
      </c>
      <c r="C40" s="6" t="s">
        <v>374</v>
      </c>
      <c r="D40" s="30" t="n">
        <v>27407</v>
      </c>
      <c r="E40" s="31" t="s">
        <v>153</v>
      </c>
      <c r="F40" s="6" t="s">
        <v>381</v>
      </c>
      <c r="G40" s="31" t="n">
        <v>41737</v>
      </c>
      <c r="H40" s="6" t="n">
        <v>1</v>
      </c>
      <c r="I40" s="7" t="n">
        <v>46270</v>
      </c>
      <c r="J40" s="8" t="n">
        <v>46393</v>
      </c>
      <c r="N40" s="8"/>
      <c r="O40" s="6" t="s">
        <v>216</v>
      </c>
      <c r="P40" s="6" t="s">
        <v>382</v>
      </c>
      <c r="Q40" s="6" t="n">
        <v>3366413363</v>
      </c>
      <c r="R40" s="41" t="s">
        <v>383</v>
      </c>
      <c r="S40" s="35" t="n">
        <v>0</v>
      </c>
      <c r="T40" s="36" t="s">
        <v>370</v>
      </c>
      <c r="U40" s="35" t="n">
        <v>17532</v>
      </c>
      <c r="V40" s="36" t="s">
        <v>150</v>
      </c>
      <c r="W40" s="37" t="s">
        <v>383</v>
      </c>
      <c r="X40" s="37"/>
      <c r="Y40" s="37"/>
      <c r="Z40" s="37" t="s">
        <v>99</v>
      </c>
      <c r="AA40" s="38" t="n">
        <v>900000</v>
      </c>
      <c r="AB40" s="38" t="n">
        <v>783000</v>
      </c>
      <c r="AC40" s="38" t="n">
        <v>665000</v>
      </c>
      <c r="AD40" s="38" t="n">
        <v>907000</v>
      </c>
      <c r="AE40" s="38" t="n">
        <v>797000</v>
      </c>
      <c r="AF40" s="38" t="n">
        <v>666000</v>
      </c>
      <c r="AG40" s="38" t="n">
        <v>940000</v>
      </c>
      <c r="AH40" s="38" t="n">
        <f aca="false">AG40-AE40</f>
        <v>143000</v>
      </c>
      <c r="AI40" s="39" t="n">
        <f aca="false">IF(AE40=0,"",AH40/AE40)</f>
        <v>0.179422835633626</v>
      </c>
      <c r="AJ40" s="40" t="str">
        <f aca="false">IF(AI40="","",IF(AI40&gt;=0.15,"STRONG",IF(AI40&gt;=0.1,"FILE",IF(AI40&gt;=0.07,"INVESTIGATE","PASS"))))</f>
        <v>STRONG</v>
      </c>
    </row>
    <row r="41" customFormat="false" ht="15" hidden="false" customHeight="false" outlineLevel="0" collapsed="false">
      <c r="A41" s="5" t="s">
        <v>384</v>
      </c>
      <c r="B41" s="6" t="s">
        <v>385</v>
      </c>
      <c r="C41" s="6" t="s">
        <v>374</v>
      </c>
      <c r="D41" s="30" t="n">
        <v>28301</v>
      </c>
      <c r="E41" s="31" t="s">
        <v>386</v>
      </c>
      <c r="F41" s="6" t="s">
        <v>387</v>
      </c>
      <c r="G41" s="31" t="s">
        <v>388</v>
      </c>
      <c r="H41" s="6" t="n">
        <v>1</v>
      </c>
      <c r="J41" s="8" t="n">
        <v>46394</v>
      </c>
      <c r="N41" s="8"/>
      <c r="O41" s="6" t="s">
        <v>389</v>
      </c>
      <c r="P41" s="6" t="s">
        <v>390</v>
      </c>
      <c r="Q41" s="6" t="n">
        <v>9106787507</v>
      </c>
      <c r="R41" s="41" t="s">
        <v>391</v>
      </c>
      <c r="S41" s="35" t="n">
        <v>0</v>
      </c>
      <c r="T41" s="36" t="s">
        <v>392</v>
      </c>
      <c r="U41" s="35" t="n">
        <v>7963</v>
      </c>
      <c r="V41" s="36" t="s">
        <v>366</v>
      </c>
      <c r="W41" s="37" t="s">
        <v>391</v>
      </c>
      <c r="X41" s="37"/>
      <c r="Y41" s="37"/>
      <c r="Z41" s="37" t="s">
        <v>99</v>
      </c>
      <c r="AA41" s="38" t="n">
        <v>3698000</v>
      </c>
      <c r="AB41" s="38" t="n">
        <v>3216000</v>
      </c>
      <c r="AC41" s="38" t="n">
        <v>2733000</v>
      </c>
      <c r="AD41" s="38" t="n">
        <v>3647000</v>
      </c>
      <c r="AE41" s="38" t="n">
        <v>3281000</v>
      </c>
      <c r="AF41" s="38" t="n">
        <v>2678000</v>
      </c>
      <c r="AG41" s="38" t="n">
        <v>3603000</v>
      </c>
      <c r="AH41" s="38" t="n">
        <f aca="false">AG41-AE41</f>
        <v>322000</v>
      </c>
      <c r="AI41" s="39" t="n">
        <f aca="false">IF(AE41=0,"",AH41/AE41)</f>
        <v>0.0981408107284365</v>
      </c>
      <c r="AJ41" s="40" t="str">
        <f aca="false">IF(AI41="","",IF(AI41&gt;=0.15,"STRONG",IF(AI41&gt;=0.1,"FILE",IF(AI41&gt;=0.07,"INVESTIGATE","PASS"))))</f>
        <v>INVESTIGATE</v>
      </c>
    </row>
    <row r="42" customFormat="false" ht="15" hidden="false" customHeight="false" outlineLevel="0" collapsed="false">
      <c r="A42" s="29" t="s">
        <v>393</v>
      </c>
      <c r="B42" s="6" t="s">
        <v>394</v>
      </c>
      <c r="C42" s="6" t="s">
        <v>374</v>
      </c>
      <c r="D42" s="30" t="n">
        <v>27596</v>
      </c>
      <c r="E42" s="31" t="s">
        <v>386</v>
      </c>
      <c r="F42" s="6" t="s">
        <v>395</v>
      </c>
      <c r="G42" s="31" t="n">
        <v>39353</v>
      </c>
      <c r="H42" s="6" t="n">
        <v>1</v>
      </c>
      <c r="J42" s="8" t="n">
        <v>46394</v>
      </c>
      <c r="N42" s="8"/>
      <c r="O42" s="6" t="s">
        <v>389</v>
      </c>
      <c r="P42" s="6" t="s">
        <v>396</v>
      </c>
      <c r="Q42" s="6" t="n">
        <v>9194962172</v>
      </c>
      <c r="R42" s="41" t="s">
        <v>397</v>
      </c>
      <c r="S42" s="35" t="n">
        <v>0</v>
      </c>
      <c r="T42" s="36" t="s">
        <v>187</v>
      </c>
      <c r="U42" s="35" t="n">
        <v>9444</v>
      </c>
      <c r="V42" s="36" t="s">
        <v>398</v>
      </c>
      <c r="W42" s="37" t="s">
        <v>397</v>
      </c>
      <c r="X42" s="37" t="s">
        <v>399</v>
      </c>
      <c r="Y42" s="37"/>
      <c r="Z42" s="37" t="s">
        <v>99</v>
      </c>
      <c r="AA42" s="38" t="n">
        <v>484000</v>
      </c>
      <c r="AB42" s="38" t="n">
        <v>421000</v>
      </c>
      <c r="AC42" s="38" t="n">
        <v>357000</v>
      </c>
      <c r="AD42" s="38" t="n">
        <v>482000</v>
      </c>
      <c r="AE42" s="38" t="n">
        <v>419000</v>
      </c>
      <c r="AF42" s="38" t="n">
        <v>365000</v>
      </c>
      <c r="AG42" s="38" t="n">
        <v>455000</v>
      </c>
      <c r="AH42" s="38" t="n">
        <f aca="false">AG42-AE42</f>
        <v>36000</v>
      </c>
      <c r="AI42" s="39" t="n">
        <f aca="false">IF(AE42=0,"",AH42/AE42)</f>
        <v>0.0859188544152745</v>
      </c>
      <c r="AJ42" s="40" t="str">
        <f aca="false">IF(AI42="","",IF(AI42&gt;=0.15,"STRONG",IF(AI42&gt;=0.1,"FILE",IF(AI42&gt;=0.07,"INVESTIGATE","PASS"))))</f>
        <v>INVESTIGATE</v>
      </c>
    </row>
    <row r="43" customFormat="false" ht="15" hidden="false" customHeight="false" outlineLevel="0" collapsed="false">
      <c r="A43" s="29" t="s">
        <v>400</v>
      </c>
      <c r="B43" s="6" t="s">
        <v>380</v>
      </c>
      <c r="C43" s="6" t="s">
        <v>374</v>
      </c>
      <c r="D43" s="30" t="n">
        <v>27409</v>
      </c>
      <c r="E43" s="31" t="s">
        <v>386</v>
      </c>
      <c r="F43" s="6" t="s">
        <v>401</v>
      </c>
      <c r="G43" s="31" t="n">
        <v>98137</v>
      </c>
      <c r="H43" s="6" t="n">
        <v>1</v>
      </c>
      <c r="J43" s="8" t="n">
        <v>46394</v>
      </c>
      <c r="N43" s="8"/>
      <c r="O43" s="6" t="s">
        <v>389</v>
      </c>
      <c r="P43" s="6" t="s">
        <v>382</v>
      </c>
      <c r="Q43" s="6" t="n">
        <v>3366413363</v>
      </c>
      <c r="R43" s="41" t="s">
        <v>402</v>
      </c>
      <c r="S43" s="35" t="n">
        <v>0</v>
      </c>
      <c r="T43" s="36" t="s">
        <v>158</v>
      </c>
      <c r="U43" s="35" t="n">
        <v>19338</v>
      </c>
      <c r="V43" s="36" t="s">
        <v>403</v>
      </c>
      <c r="W43" s="37" t="s">
        <v>402</v>
      </c>
      <c r="X43" s="37"/>
      <c r="Y43" s="37"/>
      <c r="Z43" s="37" t="s">
        <v>99</v>
      </c>
      <c r="AA43" s="38" t="n">
        <v>1888000</v>
      </c>
      <c r="AB43" s="38" t="n">
        <v>1642000</v>
      </c>
      <c r="AC43" s="38" t="n">
        <v>1395000</v>
      </c>
      <c r="AD43" s="38" t="n">
        <v>1853000</v>
      </c>
      <c r="AE43" s="38" t="n">
        <v>1646000</v>
      </c>
      <c r="AF43" s="38" t="n">
        <v>1398000</v>
      </c>
      <c r="AG43" s="38" t="n">
        <v>1675000</v>
      </c>
      <c r="AH43" s="38" t="n">
        <f aca="false">AG43-AE43</f>
        <v>29000</v>
      </c>
      <c r="AI43" s="39" t="n">
        <f aca="false">IF(AE43=0,"",AH43/AE43)</f>
        <v>0.0176184690157959</v>
      </c>
      <c r="AJ43" s="40" t="str">
        <f aca="false">IF(AI43="","",IF(AI43&gt;=0.15,"STRONG",IF(AI43&gt;=0.1,"FILE",IF(AI43&gt;=0.07,"INVESTIGATE","PASS"))))</f>
        <v>PASS</v>
      </c>
    </row>
    <row r="44" customFormat="false" ht="15" hidden="false" customHeight="false" outlineLevel="0" collapsed="false">
      <c r="A44" s="29" t="s">
        <v>404</v>
      </c>
      <c r="B44" s="6" t="s">
        <v>405</v>
      </c>
      <c r="C44" s="6" t="s">
        <v>374</v>
      </c>
      <c r="D44" s="30" t="n">
        <v>27260</v>
      </c>
      <c r="E44" s="31" t="s">
        <v>386</v>
      </c>
      <c r="F44" s="6" t="s">
        <v>406</v>
      </c>
      <c r="G44" s="31" t="n">
        <v>195060</v>
      </c>
      <c r="H44" s="6" t="n">
        <v>1</v>
      </c>
      <c r="J44" s="8" t="n">
        <v>46394</v>
      </c>
      <c r="N44" s="8"/>
      <c r="O44" s="6" t="s">
        <v>389</v>
      </c>
      <c r="P44" s="6" t="s">
        <v>382</v>
      </c>
      <c r="Q44" s="6" t="n">
        <v>3366144814</v>
      </c>
      <c r="R44" s="41" t="s">
        <v>402</v>
      </c>
      <c r="S44" s="35" t="n">
        <v>0</v>
      </c>
      <c r="T44" s="36" t="s">
        <v>357</v>
      </c>
      <c r="U44" s="35" t="n">
        <v>14766</v>
      </c>
      <c r="V44" s="36" t="s">
        <v>299</v>
      </c>
      <c r="W44" s="37" t="s">
        <v>402</v>
      </c>
      <c r="X44" s="37"/>
      <c r="Y44" s="37" t="s">
        <v>407</v>
      </c>
      <c r="Z44" s="37" t="s">
        <v>99</v>
      </c>
      <c r="AA44" s="38" t="n">
        <v>2364000</v>
      </c>
      <c r="AB44" s="38" t="n">
        <v>2056000</v>
      </c>
      <c r="AC44" s="38" t="n">
        <v>1747000</v>
      </c>
      <c r="AD44" s="38" t="n">
        <v>2406000</v>
      </c>
      <c r="AE44" s="38" t="n">
        <v>2086000</v>
      </c>
      <c r="AF44" s="38" t="n">
        <v>1743000</v>
      </c>
      <c r="AG44" s="38" t="n">
        <v>2468000</v>
      </c>
      <c r="AH44" s="38" t="n">
        <f aca="false">AG44-AE44</f>
        <v>382000</v>
      </c>
      <c r="AI44" s="39" t="n">
        <f aca="false">IF(AE44=0,"",AH44/AE44)</f>
        <v>0.183125599232982</v>
      </c>
      <c r="AJ44" s="40" t="str">
        <f aca="false">IF(AI44="","",IF(AI44&gt;=0.15,"STRONG",IF(AI44&gt;=0.1,"FILE",IF(AI44&gt;=0.07,"INVESTIGATE","PASS"))))</f>
        <v>STRONG</v>
      </c>
    </row>
    <row r="45" customFormat="false" ht="15" hidden="false" customHeight="false" outlineLevel="0" collapsed="false">
      <c r="A45" s="29" t="s">
        <v>408</v>
      </c>
      <c r="B45" s="6" t="s">
        <v>409</v>
      </c>
      <c r="C45" s="6" t="s">
        <v>374</v>
      </c>
      <c r="D45" s="30" t="n">
        <v>27284</v>
      </c>
      <c r="E45" s="31" t="s">
        <v>386</v>
      </c>
      <c r="F45" s="6" t="s">
        <v>410</v>
      </c>
      <c r="G45" s="31" t="s">
        <v>411</v>
      </c>
      <c r="H45" s="6" t="n">
        <v>1</v>
      </c>
      <c r="J45" s="8" t="n">
        <v>46394</v>
      </c>
      <c r="N45" s="8"/>
      <c r="O45" s="6" t="s">
        <v>389</v>
      </c>
      <c r="P45" s="6" t="s">
        <v>412</v>
      </c>
      <c r="Q45" s="6" t="n">
        <v>3367032300</v>
      </c>
      <c r="R45" s="41" t="s">
        <v>413</v>
      </c>
      <c r="S45" s="35" t="n">
        <v>0</v>
      </c>
      <c r="T45" s="36" t="s">
        <v>122</v>
      </c>
      <c r="U45" s="35" t="n">
        <v>4737</v>
      </c>
      <c r="V45" s="36" t="s">
        <v>414</v>
      </c>
      <c r="W45" s="37" t="s">
        <v>413</v>
      </c>
      <c r="X45" s="37"/>
      <c r="Y45" s="37"/>
      <c r="Z45" s="37" t="s">
        <v>99</v>
      </c>
      <c r="AA45" s="38" t="n">
        <v>350000</v>
      </c>
      <c r="AB45" s="38" t="n">
        <v>305000</v>
      </c>
      <c r="AC45" s="38" t="n">
        <v>259000</v>
      </c>
      <c r="AD45" s="38" t="n">
        <v>358000</v>
      </c>
      <c r="AE45" s="38" t="n">
        <v>301000</v>
      </c>
      <c r="AF45" s="38" t="n">
        <v>262000</v>
      </c>
      <c r="AG45" s="38" t="n">
        <v>342000</v>
      </c>
      <c r="AH45" s="38" t="n">
        <f aca="false">AG45-AE45</f>
        <v>41000</v>
      </c>
      <c r="AI45" s="39" t="n">
        <f aca="false">IF(AE45=0,"",AH45/AE45)</f>
        <v>0.136212624584718</v>
      </c>
      <c r="AJ45" s="40" t="str">
        <f aca="false">IF(AI45="","",IF(AI45&gt;=0.15,"STRONG",IF(AI45&gt;=0.1,"FILE",IF(AI45&gt;=0.07,"INVESTIGATE","PASS"))))</f>
        <v>FILE</v>
      </c>
    </row>
    <row r="46" customFormat="false" ht="15" hidden="false" customHeight="false" outlineLevel="0" collapsed="false">
      <c r="A46" s="29" t="s">
        <v>415</v>
      </c>
      <c r="B46" s="6" t="s">
        <v>416</v>
      </c>
      <c r="C46" s="6" t="s">
        <v>374</v>
      </c>
      <c r="D46" s="30" t="n">
        <v>27610</v>
      </c>
      <c r="E46" s="31" t="s">
        <v>386</v>
      </c>
      <c r="F46" s="6" t="s">
        <v>417</v>
      </c>
      <c r="G46" s="31" t="s">
        <v>418</v>
      </c>
      <c r="H46" s="6" t="n">
        <v>1</v>
      </c>
      <c r="J46" s="8" t="n">
        <v>46394</v>
      </c>
      <c r="N46" s="8"/>
      <c r="O46" s="6" t="s">
        <v>389</v>
      </c>
      <c r="P46" s="6" t="s">
        <v>377</v>
      </c>
      <c r="Q46" s="6" t="n">
        <v>9198565400</v>
      </c>
      <c r="R46" s="41" t="s">
        <v>419</v>
      </c>
      <c r="S46" s="35" t="n">
        <v>0</v>
      </c>
      <c r="T46" s="36" t="s">
        <v>420</v>
      </c>
      <c r="U46" s="35" t="n">
        <v>22265</v>
      </c>
      <c r="V46" s="36" t="s">
        <v>188</v>
      </c>
      <c r="W46" s="37" t="s">
        <v>419</v>
      </c>
      <c r="X46" s="37"/>
      <c r="Y46" s="37"/>
      <c r="Z46" s="37" t="s">
        <v>99</v>
      </c>
      <c r="AA46" s="38" t="n">
        <v>4444000</v>
      </c>
      <c r="AB46" s="38" t="n">
        <v>3865000</v>
      </c>
      <c r="AC46" s="38" t="n">
        <v>3285000</v>
      </c>
      <c r="AD46" s="38" t="n">
        <v>4508000</v>
      </c>
      <c r="AE46" s="38" t="n">
        <v>3885000</v>
      </c>
      <c r="AF46" s="38" t="n">
        <v>3212000</v>
      </c>
      <c r="AG46" s="38" t="n">
        <v>4175000</v>
      </c>
      <c r="AH46" s="38" t="n">
        <f aca="false">AG46-AE46</f>
        <v>290000</v>
      </c>
      <c r="AI46" s="39" t="n">
        <f aca="false">IF(AE46=0,"",AH46/AE46)</f>
        <v>0.0746460746460746</v>
      </c>
      <c r="AJ46" s="40" t="str">
        <f aca="false">IF(AI46="","",IF(AI46&gt;=0.15,"STRONG",IF(AI46&gt;=0.1,"FILE",IF(AI46&gt;=0.07,"INVESTIGATE","PASS"))))</f>
        <v>INVESTIGATE</v>
      </c>
    </row>
    <row r="47" customFormat="false" ht="15" hidden="false" customHeight="false" outlineLevel="0" collapsed="false">
      <c r="A47" s="29" t="s">
        <v>421</v>
      </c>
      <c r="B47" s="6" t="s">
        <v>422</v>
      </c>
      <c r="C47" s="6" t="s">
        <v>374</v>
      </c>
      <c r="D47" s="30" t="n">
        <v>27804</v>
      </c>
      <c r="E47" s="31" t="s">
        <v>386</v>
      </c>
      <c r="F47" s="6" t="s">
        <v>423</v>
      </c>
      <c r="G47" s="31" t="n">
        <v>34059</v>
      </c>
      <c r="H47" s="6" t="n">
        <v>1</v>
      </c>
      <c r="J47" s="8" t="n">
        <v>46394</v>
      </c>
      <c r="N47" s="8"/>
      <c r="O47" s="6" t="s">
        <v>389</v>
      </c>
      <c r="P47" s="6" t="s">
        <v>424</v>
      </c>
      <c r="Q47" s="6" t="n">
        <v>2524599824</v>
      </c>
      <c r="R47" s="41" t="s">
        <v>425</v>
      </c>
      <c r="S47" s="35" t="n">
        <v>0</v>
      </c>
      <c r="T47" s="36" t="s">
        <v>187</v>
      </c>
      <c r="U47" s="35" t="n">
        <v>3386</v>
      </c>
      <c r="V47" s="36" t="s">
        <v>426</v>
      </c>
      <c r="W47" s="37" t="s">
        <v>425</v>
      </c>
      <c r="X47" s="37"/>
      <c r="Y47" s="37"/>
      <c r="Z47" s="37" t="s">
        <v>99</v>
      </c>
      <c r="AA47" s="38" t="n">
        <v>4059000</v>
      </c>
      <c r="AB47" s="38" t="n">
        <v>3530000</v>
      </c>
      <c r="AC47" s="38" t="n">
        <v>3000000</v>
      </c>
      <c r="AD47" s="38" t="n">
        <v>4139000</v>
      </c>
      <c r="AE47" s="38" t="n">
        <v>3526000</v>
      </c>
      <c r="AF47" s="38" t="n">
        <v>3060000</v>
      </c>
      <c r="AG47" s="38" t="n">
        <v>3601000</v>
      </c>
      <c r="AH47" s="38" t="n">
        <f aca="false">AG47-AE47</f>
        <v>75000</v>
      </c>
      <c r="AI47" s="39" t="n">
        <f aca="false">IF(AE47=0,"",AH47/AE47)</f>
        <v>0.0212705615428247</v>
      </c>
      <c r="AJ47" s="40" t="str">
        <f aca="false">IF(AI47="","",IF(AI47&gt;=0.15,"STRONG",IF(AI47&gt;=0.1,"FILE",IF(AI47&gt;=0.07,"INVESTIGATE","PASS"))))</f>
        <v>PASS</v>
      </c>
    </row>
    <row r="48" customFormat="false" ht="15" hidden="false" customHeight="false" outlineLevel="0" collapsed="false">
      <c r="A48" s="29" t="s">
        <v>427</v>
      </c>
      <c r="B48" s="6" t="s">
        <v>428</v>
      </c>
      <c r="C48" s="6" t="s">
        <v>374</v>
      </c>
      <c r="D48" s="30" t="n">
        <v>27103</v>
      </c>
      <c r="E48" s="31" t="s">
        <v>386</v>
      </c>
      <c r="F48" s="6" t="s">
        <v>429</v>
      </c>
      <c r="G48" s="31" t="s">
        <v>430</v>
      </c>
      <c r="H48" s="6" t="n">
        <v>1</v>
      </c>
      <c r="J48" s="8" t="n">
        <v>46394</v>
      </c>
      <c r="N48" s="8"/>
      <c r="O48" s="6" t="s">
        <v>389</v>
      </c>
      <c r="P48" s="6" t="s">
        <v>412</v>
      </c>
      <c r="Q48" s="6" t="n">
        <v>3367032300</v>
      </c>
      <c r="R48" s="41" t="s">
        <v>413</v>
      </c>
      <c r="S48" s="35" t="n">
        <v>0</v>
      </c>
      <c r="T48" s="36" t="s">
        <v>139</v>
      </c>
      <c r="U48" s="35" t="n">
        <v>12154</v>
      </c>
      <c r="V48" s="36" t="s">
        <v>431</v>
      </c>
      <c r="W48" s="37" t="s">
        <v>413</v>
      </c>
      <c r="X48" s="37"/>
      <c r="Y48" s="37"/>
      <c r="Z48" s="37" t="s">
        <v>99</v>
      </c>
      <c r="AA48" s="38" t="n">
        <v>3505000</v>
      </c>
      <c r="AB48" s="38" t="n">
        <v>3048000</v>
      </c>
      <c r="AC48" s="38" t="n">
        <v>2590000</v>
      </c>
      <c r="AD48" s="38" t="n">
        <v>3546000</v>
      </c>
      <c r="AE48" s="38" t="n">
        <v>3017000</v>
      </c>
      <c r="AF48" s="38" t="n">
        <v>2640000</v>
      </c>
      <c r="AG48" s="38" t="n">
        <v>3658000</v>
      </c>
      <c r="AH48" s="38" t="n">
        <f aca="false">AG48-AE48</f>
        <v>641000</v>
      </c>
      <c r="AI48" s="39" t="n">
        <f aca="false">IF(AE48=0,"",AH48/AE48)</f>
        <v>0.212462711302618</v>
      </c>
      <c r="AJ48" s="40" t="str">
        <f aca="false">IF(AI48="","",IF(AI48&gt;=0.15,"STRONG",IF(AI48&gt;=0.1,"FILE",IF(AI48&gt;=0.07,"INVESTIGATE","PASS"))))</f>
        <v>STRONG</v>
      </c>
    </row>
    <row r="49" customFormat="false" ht="15" hidden="false" customHeight="false" outlineLevel="0" collapsed="false">
      <c r="A49" s="29" t="s">
        <v>432</v>
      </c>
      <c r="B49" s="6" t="s">
        <v>433</v>
      </c>
      <c r="C49" s="6" t="s">
        <v>256</v>
      </c>
      <c r="D49" s="30" t="n">
        <v>30260</v>
      </c>
      <c r="E49" s="31" t="s">
        <v>434</v>
      </c>
      <c r="F49" s="6" t="s">
        <v>435</v>
      </c>
      <c r="G49" s="31" t="s">
        <v>436</v>
      </c>
      <c r="H49" s="6" t="n">
        <v>1</v>
      </c>
      <c r="J49" s="8" t="n">
        <v>46413</v>
      </c>
      <c r="O49" s="6" t="s">
        <v>437</v>
      </c>
      <c r="P49" s="6" t="s">
        <v>438</v>
      </c>
      <c r="R49" s="41" t="s">
        <v>439</v>
      </c>
      <c r="S49" s="35" t="n">
        <v>0</v>
      </c>
      <c r="T49" s="36" t="s">
        <v>208</v>
      </c>
      <c r="U49" s="35" t="n">
        <v>4680</v>
      </c>
      <c r="V49" s="36" t="s">
        <v>440</v>
      </c>
      <c r="W49" s="37" t="s">
        <v>439</v>
      </c>
      <c r="X49" s="37" t="s">
        <v>441</v>
      </c>
      <c r="Y49" s="37"/>
      <c r="Z49" s="37" t="s">
        <v>99</v>
      </c>
      <c r="AA49" s="38" t="n">
        <v>4440000</v>
      </c>
      <c r="AB49" s="38" t="n">
        <v>3861000</v>
      </c>
      <c r="AC49" s="38" t="n">
        <v>3281000</v>
      </c>
      <c r="AD49" s="38" t="n">
        <v>4419000</v>
      </c>
      <c r="AE49" s="38" t="n">
        <v>3834000</v>
      </c>
      <c r="AF49" s="38" t="n">
        <v>3309000</v>
      </c>
      <c r="AG49" s="38" t="n">
        <v>4325000</v>
      </c>
      <c r="AH49" s="38" t="n">
        <f aca="false">AG49-AE49</f>
        <v>491000</v>
      </c>
      <c r="AI49" s="39" t="n">
        <f aca="false">IF(AE49=0,"",AH49/AE49)</f>
        <v>0.128064684402713</v>
      </c>
      <c r="AJ49" s="40" t="str">
        <f aca="false">IF(AI49="","",IF(AI49&gt;=0.15,"STRONG",IF(AI49&gt;=0.1,"FILE",IF(AI49&gt;=0.07,"INVESTIGATE","PASS"))))</f>
        <v>FILE</v>
      </c>
    </row>
    <row r="50" customFormat="false" ht="15" hidden="false" customHeight="false" outlineLevel="0" collapsed="false">
      <c r="A50" s="29" t="s">
        <v>442</v>
      </c>
      <c r="B50" s="6" t="s">
        <v>433</v>
      </c>
      <c r="C50" s="6" t="s">
        <v>256</v>
      </c>
      <c r="D50" s="30" t="n">
        <v>30260</v>
      </c>
      <c r="E50" s="31" t="s">
        <v>434</v>
      </c>
      <c r="F50" s="6" t="s">
        <v>443</v>
      </c>
      <c r="G50" s="31" t="s">
        <v>444</v>
      </c>
      <c r="H50" s="6" t="n">
        <v>1</v>
      </c>
      <c r="J50" s="8" t="n">
        <v>46413</v>
      </c>
      <c r="O50" s="6" t="s">
        <v>437</v>
      </c>
      <c r="P50" s="6" t="s">
        <v>438</v>
      </c>
      <c r="R50" s="41" t="s">
        <v>439</v>
      </c>
      <c r="S50" s="35" t="n">
        <v>0</v>
      </c>
      <c r="T50" s="36" t="s">
        <v>130</v>
      </c>
      <c r="U50" s="35" t="n">
        <v>22075</v>
      </c>
      <c r="V50" s="36" t="s">
        <v>115</v>
      </c>
      <c r="W50" s="37" t="s">
        <v>439</v>
      </c>
      <c r="X50" s="37"/>
      <c r="Y50" s="37"/>
      <c r="Z50" s="37" t="s">
        <v>99</v>
      </c>
      <c r="AA50" s="38" t="n">
        <v>4751000</v>
      </c>
      <c r="AB50" s="38" t="n">
        <v>4132000</v>
      </c>
      <c r="AC50" s="38" t="n">
        <v>3512000</v>
      </c>
      <c r="AD50" s="38" t="n">
        <v>4816000</v>
      </c>
      <c r="AE50" s="38" t="n">
        <v>4118000</v>
      </c>
      <c r="AF50" s="38" t="n">
        <v>3426000</v>
      </c>
      <c r="AG50" s="38" t="n">
        <v>4463000</v>
      </c>
      <c r="AH50" s="38" t="n">
        <f aca="false">AG50-AE50</f>
        <v>345000</v>
      </c>
      <c r="AI50" s="39" t="n">
        <f aca="false">IF(AE50=0,"",AH50/AE50)</f>
        <v>0.083778533268577</v>
      </c>
      <c r="AJ50" s="40" t="str">
        <f aca="false">IF(AI50="","",IF(AI50&gt;=0.15,"STRONG",IF(AI50&gt;=0.1,"FILE",IF(AI50&gt;=0.07,"INVESTIGATE","PASS"))))</f>
        <v>INVESTIGATE</v>
      </c>
    </row>
    <row r="51" customFormat="false" ht="15" hidden="false" customHeight="false" outlineLevel="0" collapsed="false">
      <c r="A51" s="29" t="s">
        <v>445</v>
      </c>
      <c r="B51" s="6" t="s">
        <v>446</v>
      </c>
      <c r="C51" s="6" t="s">
        <v>447</v>
      </c>
      <c r="D51" s="30" t="n">
        <v>79602</v>
      </c>
      <c r="E51" s="31" t="s">
        <v>448</v>
      </c>
      <c r="F51" s="6" t="s">
        <v>449</v>
      </c>
      <c r="G51" s="31" t="n">
        <v>68450000100</v>
      </c>
      <c r="H51" s="6" t="n">
        <v>1</v>
      </c>
      <c r="J51" s="8" t="n">
        <v>46418</v>
      </c>
      <c r="O51" s="6" t="s">
        <v>332</v>
      </c>
      <c r="P51" s="6" t="s">
        <v>450</v>
      </c>
      <c r="Q51" s="6" t="n">
        <v>3256769381</v>
      </c>
      <c r="R51" s="41" t="s">
        <v>451</v>
      </c>
      <c r="S51" s="35" t="n">
        <v>0</v>
      </c>
      <c r="T51" s="36" t="s">
        <v>277</v>
      </c>
      <c r="U51" s="35" t="n">
        <v>15160</v>
      </c>
      <c r="V51" s="36" t="s">
        <v>452</v>
      </c>
      <c r="W51" s="37" t="s">
        <v>451</v>
      </c>
      <c r="X51" s="37"/>
      <c r="Y51" s="37"/>
      <c r="Z51" s="37" t="s">
        <v>99</v>
      </c>
      <c r="AA51" s="38" t="n">
        <v>2587000</v>
      </c>
      <c r="AB51" s="38" t="n">
        <v>2250000</v>
      </c>
      <c r="AC51" s="38" t="n">
        <v>1912000</v>
      </c>
      <c r="AD51" s="38" t="n">
        <v>2512000</v>
      </c>
      <c r="AE51" s="38" t="n">
        <v>2190000</v>
      </c>
      <c r="AF51" s="38" t="n">
        <v>1885000</v>
      </c>
      <c r="AG51" s="38" t="n">
        <v>2296000</v>
      </c>
      <c r="AH51" s="38" t="n">
        <f aca="false">AG51-AE51</f>
        <v>106000</v>
      </c>
      <c r="AI51" s="39" t="n">
        <f aca="false">IF(AE51=0,"",AH51/AE51)</f>
        <v>0.0484018264840183</v>
      </c>
      <c r="AJ51" s="40" t="str">
        <f aca="false">IF(AI51="","",IF(AI51&gt;=0.15,"STRONG",IF(AI51&gt;=0.1,"FILE",IF(AI51&gt;=0.07,"INVESTIGATE","PASS"))))</f>
        <v>PASS</v>
      </c>
    </row>
    <row r="52" customFormat="false" ht="15" hidden="false" customHeight="false" outlineLevel="0" collapsed="false">
      <c r="A52" s="29" t="s">
        <v>453</v>
      </c>
      <c r="B52" s="6" t="s">
        <v>454</v>
      </c>
      <c r="C52" s="6" t="s">
        <v>447</v>
      </c>
      <c r="D52" s="30" t="n">
        <v>79706</v>
      </c>
      <c r="E52" s="31" t="s">
        <v>455</v>
      </c>
      <c r="F52" s="6" t="s">
        <v>456</v>
      </c>
      <c r="G52" s="31" t="s">
        <v>457</v>
      </c>
      <c r="H52" s="6" t="n">
        <v>1</v>
      </c>
      <c r="J52" s="8" t="n">
        <v>46418</v>
      </c>
      <c r="O52" s="6" t="s">
        <v>332</v>
      </c>
      <c r="P52" s="6" t="s">
        <v>458</v>
      </c>
      <c r="Q52" s="6" t="n">
        <v>4326994991</v>
      </c>
      <c r="R52" s="41" t="s">
        <v>459</v>
      </c>
      <c r="S52" s="35" t="n">
        <v>79955</v>
      </c>
      <c r="T52" s="43"/>
      <c r="U52" s="43"/>
      <c r="V52" s="43"/>
      <c r="W52" s="37" t="s">
        <v>459</v>
      </c>
      <c r="X52" s="37"/>
      <c r="Y52" s="37"/>
      <c r="Z52" s="37" t="s">
        <v>99</v>
      </c>
      <c r="AA52" s="38" t="n">
        <v>3675000</v>
      </c>
      <c r="AB52" s="38" t="n">
        <v>3196000</v>
      </c>
      <c r="AC52" s="38" t="n">
        <v>2716000</v>
      </c>
      <c r="AD52" s="38" t="n">
        <v>3725000</v>
      </c>
      <c r="AE52" s="38" t="n">
        <v>3237000</v>
      </c>
      <c r="AF52" s="38" t="n">
        <v>2635000</v>
      </c>
      <c r="AG52" s="38" t="n">
        <v>3836000</v>
      </c>
      <c r="AH52" s="38" t="n">
        <f aca="false">AG52-AE52</f>
        <v>599000</v>
      </c>
      <c r="AI52" s="39" t="n">
        <f aca="false">IF(AE52=0,"",AH52/AE52)</f>
        <v>0.185047883843065</v>
      </c>
      <c r="AJ52" s="40" t="str">
        <f aca="false">IF(AI52="","",IF(AI52&gt;=0.15,"STRONG",IF(AI52&gt;=0.1,"FILE",IF(AI52&gt;=0.07,"INVESTIGATE","PASS"))))</f>
        <v>STRONG</v>
      </c>
    </row>
    <row r="53" customFormat="false" ht="15" hidden="false" customHeight="false" outlineLevel="0" collapsed="false">
      <c r="A53" s="29" t="s">
        <v>460</v>
      </c>
      <c r="B53" s="6" t="s">
        <v>461</v>
      </c>
      <c r="C53" s="6" t="s">
        <v>462</v>
      </c>
      <c r="D53" s="30" t="n">
        <v>53042</v>
      </c>
      <c r="E53" s="31" t="s">
        <v>463</v>
      </c>
      <c r="F53" s="6" t="s">
        <v>464</v>
      </c>
      <c r="G53" s="31" t="s">
        <v>465</v>
      </c>
      <c r="H53" s="6" t="n">
        <v>2</v>
      </c>
      <c r="J53" s="8" t="n">
        <v>46418</v>
      </c>
      <c r="K53" s="8" t="n">
        <v>46599</v>
      </c>
      <c r="O53" s="6" t="s">
        <v>466</v>
      </c>
      <c r="P53" s="6" t="s">
        <v>467</v>
      </c>
      <c r="Q53" s="6" t="s">
        <v>468</v>
      </c>
      <c r="R53" s="41" t="s">
        <v>469</v>
      </c>
      <c r="S53" s="35" t="n">
        <v>0</v>
      </c>
      <c r="T53" s="36" t="s">
        <v>470</v>
      </c>
      <c r="U53" s="35" t="n">
        <v>13352</v>
      </c>
      <c r="V53" s="36" t="s">
        <v>169</v>
      </c>
      <c r="W53" s="37" t="s">
        <v>469</v>
      </c>
      <c r="X53" s="37"/>
      <c r="Y53" s="37"/>
      <c r="Z53" s="37" t="s">
        <v>99</v>
      </c>
      <c r="AA53" s="38" t="n">
        <v>4473000</v>
      </c>
      <c r="AB53" s="38" t="n">
        <v>3890000</v>
      </c>
      <c r="AC53" s="38" t="n">
        <v>3306000</v>
      </c>
      <c r="AD53" s="38" t="n">
        <v>4580000</v>
      </c>
      <c r="AE53" s="38" t="n">
        <v>3827000</v>
      </c>
      <c r="AF53" s="38" t="n">
        <v>3349000</v>
      </c>
      <c r="AG53" s="38" t="n">
        <v>4357000</v>
      </c>
      <c r="AH53" s="38" t="n">
        <f aca="false">AG53-AE53</f>
        <v>530000</v>
      </c>
      <c r="AI53" s="39" t="n">
        <f aca="false">IF(AE53=0,"",AH53/AE53)</f>
        <v>0.138489678599425</v>
      </c>
      <c r="AJ53" s="40" t="str">
        <f aca="false">IF(AI53="","",IF(AI53&gt;=0.15,"STRONG",IF(AI53&gt;=0.1,"FILE",IF(AI53&gt;=0.07,"INVESTIGATE","PASS"))))</f>
        <v>FILE</v>
      </c>
    </row>
    <row r="54" customFormat="false" ht="15" hidden="false" customHeight="false" outlineLevel="0" collapsed="false">
      <c r="A54" s="29" t="s">
        <v>471</v>
      </c>
      <c r="B54" s="6" t="s">
        <v>461</v>
      </c>
      <c r="C54" s="6" t="s">
        <v>462</v>
      </c>
      <c r="D54" s="30" t="n">
        <v>53042</v>
      </c>
      <c r="E54" s="31" t="s">
        <v>463</v>
      </c>
      <c r="F54" s="6" t="s">
        <v>472</v>
      </c>
      <c r="G54" s="31" t="s">
        <v>465</v>
      </c>
      <c r="H54" s="6" t="n">
        <v>2</v>
      </c>
      <c r="J54" s="8" t="n">
        <v>46418</v>
      </c>
      <c r="K54" s="8" t="n">
        <v>46599</v>
      </c>
      <c r="O54" s="6" t="s">
        <v>466</v>
      </c>
      <c r="P54" s="6" t="s">
        <v>467</v>
      </c>
      <c r="Q54" s="6" t="s">
        <v>468</v>
      </c>
      <c r="R54" s="41" t="s">
        <v>469</v>
      </c>
      <c r="S54" s="35" t="n">
        <v>0</v>
      </c>
      <c r="T54" s="36" t="s">
        <v>277</v>
      </c>
      <c r="U54" s="35" t="n">
        <v>14775</v>
      </c>
      <c r="V54" s="36" t="s">
        <v>229</v>
      </c>
      <c r="W54" s="37" t="s">
        <v>469</v>
      </c>
      <c r="X54" s="37"/>
      <c r="Y54" s="37"/>
      <c r="Z54" s="37" t="s">
        <v>99</v>
      </c>
      <c r="AA54" s="38" t="n">
        <v>2749000</v>
      </c>
      <c r="AB54" s="38" t="n">
        <v>2391000</v>
      </c>
      <c r="AC54" s="38" t="n">
        <v>2032000</v>
      </c>
      <c r="AD54" s="38" t="n">
        <v>2675000</v>
      </c>
      <c r="AE54" s="38" t="n">
        <v>2359000</v>
      </c>
      <c r="AF54" s="38" t="n">
        <v>2079000</v>
      </c>
      <c r="AG54" s="38" t="n">
        <v>2583000</v>
      </c>
      <c r="AH54" s="38" t="n">
        <f aca="false">AG54-AE54</f>
        <v>224000</v>
      </c>
      <c r="AI54" s="39" t="n">
        <f aca="false">IF(AE54=0,"",AH54/AE54)</f>
        <v>0.0949554896142433</v>
      </c>
      <c r="AJ54" s="40" t="str">
        <f aca="false">IF(AI54="","",IF(AI54&gt;=0.15,"STRONG",IF(AI54&gt;=0.1,"FILE",IF(AI54&gt;=0.07,"INVESTIGATE","PASS"))))</f>
        <v>INVESTIGATE</v>
      </c>
    </row>
    <row r="55" customFormat="false" ht="15" hidden="false" customHeight="false" outlineLevel="0" collapsed="false">
      <c r="A55" s="29" t="s">
        <v>473</v>
      </c>
      <c r="B55" s="6" t="s">
        <v>474</v>
      </c>
      <c r="C55" s="6" t="s">
        <v>447</v>
      </c>
      <c r="D55" s="30" t="n">
        <v>77302</v>
      </c>
      <c r="E55" s="31" t="s">
        <v>475</v>
      </c>
      <c r="F55" s="6" t="s">
        <v>476</v>
      </c>
      <c r="G55" s="31" t="n">
        <v>94310000300</v>
      </c>
      <c r="H55" s="6" t="n">
        <v>1</v>
      </c>
      <c r="J55" s="8" t="n">
        <v>46418</v>
      </c>
      <c r="O55" s="6" t="s">
        <v>164</v>
      </c>
      <c r="S55" s="35" t="n">
        <v>0</v>
      </c>
      <c r="T55" s="36" t="s">
        <v>357</v>
      </c>
      <c r="U55" s="35" t="n">
        <v>11848</v>
      </c>
      <c r="V55" s="36" t="s">
        <v>318</v>
      </c>
      <c r="W55" s="37" t="s">
        <v>477</v>
      </c>
      <c r="X55" s="37"/>
      <c r="Y55" s="37" t="s">
        <v>478</v>
      </c>
      <c r="Z55" s="37" t="s">
        <v>99</v>
      </c>
      <c r="AA55" s="38" t="n">
        <v>2811000</v>
      </c>
      <c r="AB55" s="38" t="n">
        <v>2445000</v>
      </c>
      <c r="AC55" s="38" t="n">
        <v>2078000</v>
      </c>
      <c r="AD55" s="38" t="n">
        <v>2824000</v>
      </c>
      <c r="AE55" s="38" t="n">
        <v>2431000</v>
      </c>
      <c r="AF55" s="38" t="n">
        <v>2128000</v>
      </c>
      <c r="AG55" s="38" t="n">
        <v>2494000</v>
      </c>
      <c r="AH55" s="38" t="n">
        <f aca="false">AG55-AE55</f>
        <v>63000</v>
      </c>
      <c r="AI55" s="39" t="n">
        <f aca="false">IF(AE55=0,"",AH55/AE55)</f>
        <v>0.0259152612093789</v>
      </c>
      <c r="AJ55" s="40" t="str">
        <f aca="false">IF(AI55="","",IF(AI55&gt;=0.15,"STRONG",IF(AI55&gt;=0.1,"FILE",IF(AI55&gt;=0.07,"INVESTIGATE","PASS"))))</f>
        <v>PASS</v>
      </c>
    </row>
    <row r="56" customFormat="false" ht="15" hidden="false" customHeight="false" outlineLevel="0" collapsed="false">
      <c r="A56" s="29" t="s">
        <v>479</v>
      </c>
      <c r="B56" s="6" t="s">
        <v>480</v>
      </c>
      <c r="C56" s="6" t="s">
        <v>447</v>
      </c>
      <c r="D56" s="30" t="n">
        <v>77429</v>
      </c>
      <c r="E56" s="31" t="s">
        <v>475</v>
      </c>
      <c r="F56" s="6" t="s">
        <v>481</v>
      </c>
      <c r="G56" s="31"/>
      <c r="H56" s="6" t="n">
        <v>1</v>
      </c>
      <c r="J56" s="8" t="n">
        <v>46418</v>
      </c>
      <c r="O56" s="6" t="s">
        <v>164</v>
      </c>
      <c r="S56" s="35" t="n">
        <v>0</v>
      </c>
      <c r="T56" s="36" t="s">
        <v>365</v>
      </c>
      <c r="U56" s="35" t="n">
        <v>7947</v>
      </c>
      <c r="V56" s="36" t="s">
        <v>482</v>
      </c>
      <c r="W56" s="37" t="s">
        <v>483</v>
      </c>
      <c r="X56" s="37" t="s">
        <v>484</v>
      </c>
      <c r="Y56" s="37"/>
      <c r="Z56" s="37" t="s">
        <v>99</v>
      </c>
      <c r="AA56" s="38" t="n">
        <v>1175000</v>
      </c>
      <c r="AB56" s="38" t="n">
        <v>1022000</v>
      </c>
      <c r="AC56" s="38" t="n">
        <v>868000</v>
      </c>
      <c r="AD56" s="38" t="n">
        <v>1165000</v>
      </c>
      <c r="AE56" s="38" t="n">
        <v>1046000</v>
      </c>
      <c r="AF56" s="38" t="n">
        <v>886000</v>
      </c>
      <c r="AG56" s="38" t="n">
        <v>1227000</v>
      </c>
      <c r="AH56" s="38" t="n">
        <f aca="false">AG56-AE56</f>
        <v>181000</v>
      </c>
      <c r="AI56" s="39" t="n">
        <f aca="false">IF(AE56=0,"",AH56/AE56)</f>
        <v>0.173040152963671</v>
      </c>
      <c r="AJ56" s="40" t="str">
        <f aca="false">IF(AI56="","",IF(AI56&gt;=0.15,"STRONG",IF(AI56&gt;=0.1,"FILE",IF(AI56&gt;=0.07,"INVESTIGATE","PASS"))))</f>
        <v>STRONG</v>
      </c>
    </row>
    <row r="57" customFormat="false" ht="15" hidden="false" customHeight="false" outlineLevel="0" collapsed="false">
      <c r="A57" s="29" t="s">
        <v>485</v>
      </c>
      <c r="B57" s="46" t="s">
        <v>486</v>
      </c>
      <c r="C57" s="6" t="s">
        <v>447</v>
      </c>
      <c r="D57" s="30" t="n">
        <v>76028</v>
      </c>
      <c r="E57" s="31" t="s">
        <v>487</v>
      </c>
      <c r="F57" s="6" t="s">
        <v>488</v>
      </c>
      <c r="G57" s="31"/>
      <c r="H57" s="6" t="n">
        <v>1</v>
      </c>
      <c r="J57" s="8" t="n">
        <v>46418</v>
      </c>
      <c r="O57" s="6" t="s">
        <v>164</v>
      </c>
      <c r="S57" s="35" t="n">
        <v>0</v>
      </c>
      <c r="T57" s="36" t="s">
        <v>219</v>
      </c>
      <c r="U57" s="35" t="n">
        <v>15275</v>
      </c>
      <c r="V57" s="36" t="s">
        <v>318</v>
      </c>
      <c r="W57" s="37" t="s">
        <v>489</v>
      </c>
      <c r="X57" s="37"/>
      <c r="Y57" s="37"/>
      <c r="Z57" s="37" t="s">
        <v>99</v>
      </c>
      <c r="AA57" s="38" t="n">
        <v>2608000</v>
      </c>
      <c r="AB57" s="38" t="n">
        <v>2268000</v>
      </c>
      <c r="AC57" s="38" t="n">
        <v>1927000</v>
      </c>
      <c r="AD57" s="38" t="n">
        <v>2599000</v>
      </c>
      <c r="AE57" s="38" t="n">
        <v>2272000</v>
      </c>
      <c r="AF57" s="38" t="n">
        <v>1968000</v>
      </c>
      <c r="AG57" s="38" t="n">
        <v>2541000</v>
      </c>
      <c r="AH57" s="38" t="n">
        <f aca="false">AG57-AE57</f>
        <v>269000</v>
      </c>
      <c r="AI57" s="39" t="n">
        <f aca="false">IF(AE57=0,"",AH57/AE57)</f>
        <v>0.118397887323944</v>
      </c>
      <c r="AJ57" s="40" t="str">
        <f aca="false">IF(AI57="","",IF(AI57&gt;=0.15,"STRONG",IF(AI57&gt;=0.1,"FILE",IF(AI57&gt;=0.07,"INVESTIGATE","PASS"))))</f>
        <v>FILE</v>
      </c>
    </row>
    <row r="58" customFormat="false" ht="15" hidden="false" customHeight="false" outlineLevel="0" collapsed="false">
      <c r="A58" s="29" t="s">
        <v>490</v>
      </c>
      <c r="B58" s="46" t="s">
        <v>491</v>
      </c>
      <c r="C58" s="6" t="s">
        <v>447</v>
      </c>
      <c r="D58" s="30" t="n">
        <v>75135</v>
      </c>
      <c r="E58" s="31" t="s">
        <v>487</v>
      </c>
      <c r="F58" s="6" t="s">
        <v>492</v>
      </c>
      <c r="G58" s="31" t="n">
        <v>23748</v>
      </c>
      <c r="H58" s="6" t="n">
        <v>1</v>
      </c>
      <c r="J58" s="8" t="n">
        <v>46418</v>
      </c>
      <c r="O58" s="6" t="s">
        <v>164</v>
      </c>
      <c r="P58" s="6" t="s">
        <v>493</v>
      </c>
      <c r="R58" s="41" t="s">
        <v>494</v>
      </c>
      <c r="S58" s="35" t="n">
        <v>0</v>
      </c>
      <c r="T58" s="36" t="s">
        <v>495</v>
      </c>
      <c r="U58" s="35" t="n">
        <v>14210</v>
      </c>
      <c r="V58" s="36" t="s">
        <v>496</v>
      </c>
      <c r="W58" s="37" t="s">
        <v>494</v>
      </c>
      <c r="X58" s="37"/>
      <c r="Y58" s="37"/>
      <c r="Z58" s="37" t="s">
        <v>99</v>
      </c>
      <c r="AA58" s="38" t="n">
        <v>3571000</v>
      </c>
      <c r="AB58" s="38" t="n">
        <v>3106000</v>
      </c>
      <c r="AC58" s="38" t="n">
        <v>2640000</v>
      </c>
      <c r="AD58" s="38" t="n">
        <v>3486000</v>
      </c>
      <c r="AE58" s="38" t="n">
        <v>3023000</v>
      </c>
      <c r="AF58" s="38" t="n">
        <v>2672000</v>
      </c>
      <c r="AG58" s="38" t="n">
        <v>3355000</v>
      </c>
      <c r="AH58" s="38" t="n">
        <f aca="false">AG58-AE58</f>
        <v>332000</v>
      </c>
      <c r="AI58" s="39" t="n">
        <f aca="false">IF(AE58=0,"",AH58/AE58)</f>
        <v>0.109824677472709</v>
      </c>
      <c r="AJ58" s="40" t="str">
        <f aca="false">IF(AI58="","",IF(AI58&gt;=0.15,"STRONG",IF(AI58&gt;=0.1,"FILE",IF(AI58&gt;=0.07,"INVESTIGATE","PASS"))))</f>
        <v>FILE</v>
      </c>
    </row>
    <row r="59" customFormat="false" ht="15" hidden="false" customHeight="false" outlineLevel="0" collapsed="false">
      <c r="A59" s="29" t="s">
        <v>497</v>
      </c>
      <c r="B59" s="46" t="s">
        <v>498</v>
      </c>
      <c r="C59" s="6" t="s">
        <v>447</v>
      </c>
      <c r="D59" s="30" t="n">
        <v>76116</v>
      </c>
      <c r="E59" s="31" t="s">
        <v>487</v>
      </c>
      <c r="F59" s="6" t="s">
        <v>499</v>
      </c>
      <c r="G59" s="31"/>
      <c r="H59" s="6" t="n">
        <v>1</v>
      </c>
      <c r="J59" s="8" t="n">
        <v>46418</v>
      </c>
      <c r="O59" s="6" t="s">
        <v>164</v>
      </c>
      <c r="S59" s="35" t="n">
        <v>0</v>
      </c>
      <c r="T59" s="36" t="s">
        <v>500</v>
      </c>
      <c r="U59" s="35" t="n">
        <v>15753</v>
      </c>
      <c r="V59" s="36" t="s">
        <v>299</v>
      </c>
      <c r="W59" s="37" t="s">
        <v>501</v>
      </c>
      <c r="X59" s="37"/>
      <c r="Y59" s="37"/>
      <c r="Z59" s="37" t="s">
        <v>99</v>
      </c>
      <c r="AA59" s="38" t="n">
        <v>2124000</v>
      </c>
      <c r="AB59" s="38" t="n">
        <v>1847000</v>
      </c>
      <c r="AC59" s="38" t="n">
        <v>1569000</v>
      </c>
      <c r="AD59" s="38" t="n">
        <v>2169000</v>
      </c>
      <c r="AE59" s="38" t="n">
        <v>1821000</v>
      </c>
      <c r="AF59" s="38" t="n">
        <v>1535000</v>
      </c>
      <c r="AG59" s="38" t="n">
        <v>1884000</v>
      </c>
      <c r="AH59" s="38" t="n">
        <f aca="false">AG59-AE59</f>
        <v>63000</v>
      </c>
      <c r="AI59" s="39" t="n">
        <f aca="false">IF(AE59=0,"",AH59/AE59)</f>
        <v>0.0345963756177924</v>
      </c>
      <c r="AJ59" s="40" t="str">
        <f aca="false">IF(AI59="","",IF(AI59&gt;=0.15,"STRONG",IF(AI59&gt;=0.1,"FILE",IF(AI59&gt;=0.07,"INVESTIGATE","PASS"))))</f>
        <v>PASS</v>
      </c>
    </row>
    <row r="60" customFormat="false" ht="15" hidden="false" customHeight="false" outlineLevel="0" collapsed="false">
      <c r="A60" s="29" t="s">
        <v>502</v>
      </c>
      <c r="B60" s="46" t="s">
        <v>503</v>
      </c>
      <c r="C60" s="6" t="s">
        <v>447</v>
      </c>
      <c r="D60" s="30" t="n">
        <v>77088</v>
      </c>
      <c r="E60" s="31" t="s">
        <v>487</v>
      </c>
      <c r="F60" s="6" t="s">
        <v>504</v>
      </c>
      <c r="G60" s="31" t="s">
        <v>505</v>
      </c>
      <c r="H60" s="6" t="n">
        <v>1</v>
      </c>
      <c r="J60" s="8" t="n">
        <v>46418</v>
      </c>
      <c r="O60" s="6" t="s">
        <v>164</v>
      </c>
      <c r="S60" s="35" t="n">
        <v>0</v>
      </c>
      <c r="T60" s="36" t="s">
        <v>310</v>
      </c>
      <c r="U60" s="35" t="n">
        <v>11582</v>
      </c>
      <c r="V60" s="36" t="s">
        <v>299</v>
      </c>
      <c r="W60" s="37" t="s">
        <v>506</v>
      </c>
      <c r="X60" s="37"/>
      <c r="Y60" s="37"/>
      <c r="Z60" s="37" t="s">
        <v>99</v>
      </c>
      <c r="AA60" s="38" t="n">
        <v>4313000</v>
      </c>
      <c r="AB60" s="38" t="n">
        <v>3751000</v>
      </c>
      <c r="AC60" s="38" t="n">
        <v>3188000</v>
      </c>
      <c r="AD60" s="38" t="n">
        <v>4368000</v>
      </c>
      <c r="AE60" s="38" t="n">
        <v>3666000</v>
      </c>
      <c r="AF60" s="38" t="n">
        <v>3206000</v>
      </c>
      <c r="AG60" s="38" t="n">
        <v>4502000</v>
      </c>
      <c r="AH60" s="38" t="n">
        <f aca="false">AG60-AE60</f>
        <v>836000</v>
      </c>
      <c r="AI60" s="39" t="n">
        <f aca="false">IF(AE60=0,"",AH60/AE60)</f>
        <v>0.228041462084015</v>
      </c>
      <c r="AJ60" s="40" t="str">
        <f aca="false">IF(AI60="","",IF(AI60&gt;=0.15,"STRONG",IF(AI60&gt;=0.1,"FILE",IF(AI60&gt;=0.07,"INVESTIGATE","PASS"))))</f>
        <v>STRONG</v>
      </c>
    </row>
    <row r="61" customFormat="false" ht="15" hidden="false" customHeight="false" outlineLevel="0" collapsed="false">
      <c r="A61" s="29" t="s">
        <v>507</v>
      </c>
      <c r="B61" s="46" t="s">
        <v>503</v>
      </c>
      <c r="C61" s="6" t="s">
        <v>447</v>
      </c>
      <c r="D61" s="30" t="n">
        <v>77008</v>
      </c>
      <c r="E61" s="31" t="s">
        <v>487</v>
      </c>
      <c r="F61" s="6" t="s">
        <v>508</v>
      </c>
      <c r="G61" s="31"/>
      <c r="H61" s="6" t="n">
        <v>1</v>
      </c>
      <c r="J61" s="8" t="n">
        <v>46418</v>
      </c>
      <c r="O61" s="6" t="s">
        <v>164</v>
      </c>
      <c r="S61" s="35" t="n">
        <v>0</v>
      </c>
      <c r="T61" s="36" t="s">
        <v>105</v>
      </c>
      <c r="U61" s="35" t="n">
        <v>12966</v>
      </c>
      <c r="V61" s="36" t="s">
        <v>426</v>
      </c>
      <c r="W61" s="37" t="s">
        <v>509</v>
      </c>
      <c r="X61" s="37"/>
      <c r="Y61" s="37"/>
      <c r="Z61" s="37" t="s">
        <v>99</v>
      </c>
      <c r="AA61" s="38" t="n">
        <v>818000</v>
      </c>
      <c r="AB61" s="38" t="n">
        <v>712000</v>
      </c>
      <c r="AC61" s="38" t="n">
        <v>605000</v>
      </c>
      <c r="AD61" s="38" t="n">
        <v>818000</v>
      </c>
      <c r="AE61" s="38" t="n">
        <v>733000</v>
      </c>
      <c r="AF61" s="38" t="n">
        <v>596000</v>
      </c>
      <c r="AG61" s="38" t="n">
        <v>798000</v>
      </c>
      <c r="AH61" s="38" t="n">
        <f aca="false">AG61-AE61</f>
        <v>65000</v>
      </c>
      <c r="AI61" s="39" t="n">
        <f aca="false">IF(AE61=0,"",AH61/AE61)</f>
        <v>0.0886766712141883</v>
      </c>
      <c r="AJ61" s="40" t="str">
        <f aca="false">IF(AI61="","",IF(AI61&gt;=0.15,"STRONG",IF(AI61&gt;=0.1,"FILE",IF(AI61&gt;=0.07,"INVESTIGATE","PASS"))))</f>
        <v>INVESTIGATE</v>
      </c>
    </row>
    <row r="62" customFormat="false" ht="15" hidden="false" customHeight="false" outlineLevel="0" collapsed="false">
      <c r="A62" s="29" t="s">
        <v>510</v>
      </c>
      <c r="B62" s="46" t="s">
        <v>511</v>
      </c>
      <c r="C62" s="6" t="s">
        <v>447</v>
      </c>
      <c r="D62" s="30" t="n">
        <v>75067</v>
      </c>
      <c r="E62" s="31" t="s">
        <v>487</v>
      </c>
      <c r="F62" s="6" t="s">
        <v>512</v>
      </c>
      <c r="G62" s="31"/>
      <c r="H62" s="6" t="n">
        <v>1</v>
      </c>
      <c r="J62" s="8" t="n">
        <v>46418</v>
      </c>
      <c r="O62" s="6" t="s">
        <v>164</v>
      </c>
      <c r="R62" s="41" t="s">
        <v>513</v>
      </c>
      <c r="S62" s="35" t="n">
        <v>0</v>
      </c>
      <c r="T62" s="36" t="s">
        <v>270</v>
      </c>
      <c r="U62" s="35" t="n">
        <v>20143</v>
      </c>
      <c r="V62" s="36" t="s">
        <v>371</v>
      </c>
      <c r="W62" s="37" t="s">
        <v>513</v>
      </c>
      <c r="X62" s="37"/>
      <c r="Y62" s="37"/>
      <c r="Z62" s="37" t="s">
        <v>99</v>
      </c>
      <c r="AA62" s="38" t="n">
        <v>265000</v>
      </c>
      <c r="AB62" s="38" t="n">
        <v>231000</v>
      </c>
      <c r="AC62" s="38" t="n">
        <v>196000</v>
      </c>
      <c r="AD62" s="38" t="n">
        <v>257000</v>
      </c>
      <c r="AE62" s="38" t="n">
        <v>227000</v>
      </c>
      <c r="AF62" s="38" t="n">
        <v>199000</v>
      </c>
      <c r="AG62" s="38" t="n">
        <v>250000</v>
      </c>
      <c r="AH62" s="38" t="n">
        <f aca="false">AG62-AE62</f>
        <v>23000</v>
      </c>
      <c r="AI62" s="39" t="n">
        <f aca="false">IF(AE62=0,"",AH62/AE62)</f>
        <v>0.101321585903084</v>
      </c>
      <c r="AJ62" s="40" t="str">
        <f aca="false">IF(AI62="","",IF(AI62&gt;=0.15,"STRONG",IF(AI62&gt;=0.1,"FILE",IF(AI62&gt;=0.07,"INVESTIGATE","PASS"))))</f>
        <v>FILE</v>
      </c>
    </row>
    <row r="63" customFormat="false" ht="15" hidden="false" customHeight="false" outlineLevel="0" collapsed="false">
      <c r="A63" s="29" t="s">
        <v>514</v>
      </c>
      <c r="B63" s="46" t="s">
        <v>515</v>
      </c>
      <c r="C63" s="6" t="s">
        <v>447</v>
      </c>
      <c r="D63" s="30" t="n">
        <v>77630</v>
      </c>
      <c r="E63" s="31" t="s">
        <v>487</v>
      </c>
      <c r="F63" s="6" t="s">
        <v>516</v>
      </c>
      <c r="G63" s="31"/>
      <c r="H63" s="6" t="n">
        <v>1</v>
      </c>
      <c r="J63" s="8" t="n">
        <v>46418</v>
      </c>
      <c r="O63" s="6" t="s">
        <v>164</v>
      </c>
      <c r="S63" s="35" t="n">
        <v>0</v>
      </c>
      <c r="T63" s="36" t="s">
        <v>122</v>
      </c>
      <c r="U63" s="35" t="n">
        <v>13162</v>
      </c>
      <c r="V63" s="36" t="s">
        <v>326</v>
      </c>
      <c r="W63" s="37" t="s">
        <v>517</v>
      </c>
      <c r="X63" s="37" t="s">
        <v>518</v>
      </c>
      <c r="Y63" s="37"/>
      <c r="Z63" s="37" t="s">
        <v>99</v>
      </c>
      <c r="AA63" s="38" t="n">
        <v>3952000</v>
      </c>
      <c r="AB63" s="38" t="n">
        <v>3437000</v>
      </c>
      <c r="AC63" s="38" t="n">
        <v>2921000</v>
      </c>
      <c r="AD63" s="38" t="n">
        <v>4053000</v>
      </c>
      <c r="AE63" s="38" t="n">
        <v>3366000</v>
      </c>
      <c r="AF63" s="38" t="n">
        <v>2924000</v>
      </c>
      <c r="AG63" s="38" t="n">
        <v>3506000</v>
      </c>
      <c r="AH63" s="38" t="n">
        <f aca="false">AG63-AE63</f>
        <v>140000</v>
      </c>
      <c r="AI63" s="39" t="n">
        <f aca="false">IF(AE63=0,"",AH63/AE63)</f>
        <v>0.041592394533571</v>
      </c>
      <c r="AJ63" s="40" t="str">
        <f aca="false">IF(AI63="","",IF(AI63&gt;=0.15,"STRONG",IF(AI63&gt;=0.1,"FILE",IF(AI63&gt;=0.07,"INVESTIGATE","PASS"))))</f>
        <v>PASS</v>
      </c>
    </row>
    <row r="64" customFormat="false" ht="15" hidden="false" customHeight="false" outlineLevel="0" collapsed="false">
      <c r="A64" s="29" t="s">
        <v>519</v>
      </c>
      <c r="B64" s="46" t="s">
        <v>520</v>
      </c>
      <c r="C64" s="6" t="s">
        <v>447</v>
      </c>
      <c r="D64" s="30" t="n">
        <v>77590</v>
      </c>
      <c r="E64" s="31" t="s">
        <v>487</v>
      </c>
      <c r="F64" s="6" t="s">
        <v>521</v>
      </c>
      <c r="G64" s="31"/>
      <c r="H64" s="6" t="n">
        <v>1</v>
      </c>
      <c r="J64" s="8" t="n">
        <v>46418</v>
      </c>
      <c r="O64" s="6" t="s">
        <v>164</v>
      </c>
      <c r="S64" s="35" t="n">
        <v>0</v>
      </c>
      <c r="T64" s="36" t="s">
        <v>342</v>
      </c>
      <c r="U64" s="35" t="n">
        <v>6064</v>
      </c>
      <c r="V64" s="36" t="s">
        <v>140</v>
      </c>
      <c r="W64" s="37" t="s">
        <v>522</v>
      </c>
      <c r="X64" s="37"/>
      <c r="Y64" s="37"/>
      <c r="Z64" s="37" t="s">
        <v>99</v>
      </c>
      <c r="AA64" s="38" t="n">
        <v>3079000</v>
      </c>
      <c r="AB64" s="38" t="n">
        <v>2678000</v>
      </c>
      <c r="AC64" s="38" t="n">
        <v>2276000</v>
      </c>
      <c r="AD64" s="38" t="n">
        <v>3137000</v>
      </c>
      <c r="AE64" s="38" t="n">
        <v>2739000</v>
      </c>
      <c r="AF64" s="38" t="n">
        <v>2290000</v>
      </c>
      <c r="AG64" s="38" t="n">
        <v>3214000</v>
      </c>
      <c r="AH64" s="38" t="n">
        <f aca="false">AG64-AE64</f>
        <v>475000</v>
      </c>
      <c r="AI64" s="39" t="n">
        <f aca="false">IF(AE64=0,"",AH64/AE64)</f>
        <v>0.173420956553487</v>
      </c>
      <c r="AJ64" s="40" t="str">
        <f aca="false">IF(AI64="","",IF(AI64&gt;=0.15,"STRONG",IF(AI64&gt;=0.1,"FILE",IF(AI64&gt;=0.07,"INVESTIGATE","PASS"))))</f>
        <v>STRONG</v>
      </c>
    </row>
    <row r="65" customFormat="false" ht="15" hidden="false" customHeight="false" outlineLevel="0" collapsed="false">
      <c r="A65" s="29" t="s">
        <v>523</v>
      </c>
      <c r="B65" s="46" t="s">
        <v>524</v>
      </c>
      <c r="C65" s="6" t="s">
        <v>447</v>
      </c>
      <c r="D65" s="30" t="n">
        <v>75493</v>
      </c>
      <c r="E65" s="31" t="s">
        <v>487</v>
      </c>
      <c r="F65" s="6" t="s">
        <v>525</v>
      </c>
      <c r="G65" s="31"/>
      <c r="H65" s="6" t="n">
        <v>1</v>
      </c>
      <c r="J65" s="8" t="n">
        <v>46418</v>
      </c>
      <c r="O65" s="6" t="s">
        <v>164</v>
      </c>
      <c r="S65" s="35" t="n">
        <v>109243</v>
      </c>
      <c r="T65" s="43"/>
      <c r="U65" s="47"/>
      <c r="V65" s="43"/>
      <c r="W65" s="37" t="s">
        <v>526</v>
      </c>
      <c r="X65" s="37"/>
      <c r="Y65" s="37"/>
      <c r="Z65" s="37" t="s">
        <v>99</v>
      </c>
      <c r="AA65" s="38" t="n">
        <v>5041000</v>
      </c>
      <c r="AB65" s="38" t="n">
        <v>4384000</v>
      </c>
      <c r="AC65" s="38" t="n">
        <v>3726000</v>
      </c>
      <c r="AD65" s="38" t="n">
        <v>5158000</v>
      </c>
      <c r="AE65" s="38" t="n">
        <v>4326000</v>
      </c>
      <c r="AF65" s="38" t="n">
        <v>3813000</v>
      </c>
      <c r="AG65" s="38" t="n">
        <v>4911000</v>
      </c>
      <c r="AH65" s="38" t="n">
        <f aca="false">AG65-AE65</f>
        <v>585000</v>
      </c>
      <c r="AI65" s="39" t="n">
        <f aca="false">IF(AE65=0,"",AH65/AE65)</f>
        <v>0.135228848821082</v>
      </c>
      <c r="AJ65" s="40" t="str">
        <f aca="false">IF(AI65="","",IF(AI65&gt;=0.15,"STRONG",IF(AI65&gt;=0.1,"FILE",IF(AI65&gt;=0.07,"INVESTIGATE","PASS"))))</f>
        <v>FILE</v>
      </c>
    </row>
    <row r="66" customFormat="false" ht="15" hidden="false" customHeight="false" outlineLevel="0" collapsed="false">
      <c r="A66" s="29" t="s">
        <v>527</v>
      </c>
      <c r="B66" s="6" t="s">
        <v>528</v>
      </c>
      <c r="C66" s="6" t="s">
        <v>90</v>
      </c>
      <c r="D66" s="30" t="n">
        <v>33511</v>
      </c>
      <c r="E66" s="31" t="s">
        <v>153</v>
      </c>
      <c r="F66" s="6" t="s">
        <v>529</v>
      </c>
      <c r="G66" s="31" t="s">
        <v>530</v>
      </c>
      <c r="H66" s="6" t="n">
        <v>1</v>
      </c>
      <c r="I66" s="7" t="n">
        <v>46387</v>
      </c>
      <c r="J66" s="8" t="n">
        <v>46477</v>
      </c>
      <c r="N66" s="8"/>
      <c r="O66" s="6" t="s">
        <v>216</v>
      </c>
      <c r="P66" s="6" t="s">
        <v>531</v>
      </c>
      <c r="Q66" s="6" t="n">
        <v>8132725890</v>
      </c>
      <c r="R66" s="41" t="s">
        <v>532</v>
      </c>
      <c r="S66" s="35" t="n">
        <v>0</v>
      </c>
      <c r="T66" s="36" t="s">
        <v>208</v>
      </c>
      <c r="U66" s="35" t="n">
        <v>21343</v>
      </c>
      <c r="V66" s="36" t="s">
        <v>426</v>
      </c>
      <c r="W66" s="37" t="s">
        <v>532</v>
      </c>
      <c r="X66" s="37"/>
      <c r="Y66" s="37" t="s">
        <v>533</v>
      </c>
      <c r="Z66" s="37" t="s">
        <v>99</v>
      </c>
      <c r="AA66" s="38" t="n">
        <v>1537000</v>
      </c>
      <c r="AB66" s="38" t="n">
        <v>1337000</v>
      </c>
      <c r="AC66" s="38" t="n">
        <v>1136000</v>
      </c>
      <c r="AD66" s="38" t="n">
        <v>1529000</v>
      </c>
      <c r="AE66" s="38" t="n">
        <v>1316000</v>
      </c>
      <c r="AF66" s="38" t="n">
        <v>1102000</v>
      </c>
      <c r="AG66" s="38" t="n">
        <v>1445000</v>
      </c>
      <c r="AH66" s="38" t="n">
        <f aca="false">AG66-AE66</f>
        <v>129000</v>
      </c>
      <c r="AI66" s="39" t="n">
        <f aca="false">IF(AE66=0,"",AH66/AE66)</f>
        <v>0.0980243161094225</v>
      </c>
      <c r="AJ66" s="40" t="str">
        <f aca="false">IF(AI66="","",IF(AI66&gt;=0.15,"STRONG",IF(AI66&gt;=0.1,"FILE",IF(AI66&gt;=0.07,"INVESTIGATE","PASS"))))</f>
        <v>INVESTIGATE</v>
      </c>
    </row>
    <row r="67" customFormat="false" ht="15" hidden="false" customHeight="false" outlineLevel="0" collapsed="false">
      <c r="A67" s="29" t="s">
        <v>534</v>
      </c>
      <c r="B67" s="6" t="s">
        <v>535</v>
      </c>
      <c r="C67" s="6" t="s">
        <v>90</v>
      </c>
      <c r="D67" s="30" t="n">
        <v>34224</v>
      </c>
      <c r="E67" s="31" t="s">
        <v>153</v>
      </c>
      <c r="F67" s="6" t="s">
        <v>536</v>
      </c>
      <c r="G67" s="31" t="n">
        <v>412008462002</v>
      </c>
      <c r="H67" s="6" t="n">
        <v>1</v>
      </c>
      <c r="I67" s="7" t="n">
        <v>46361</v>
      </c>
      <c r="J67" s="8" t="n">
        <v>46477</v>
      </c>
      <c r="N67" s="8"/>
      <c r="O67" s="6" t="s">
        <v>216</v>
      </c>
      <c r="P67" s="6" t="s">
        <v>537</v>
      </c>
      <c r="Q67" s="6" t="n">
        <v>9417431350</v>
      </c>
      <c r="R67" s="41" t="s">
        <v>538</v>
      </c>
      <c r="S67" s="35" t="n">
        <v>0</v>
      </c>
      <c r="T67" s="36" t="s">
        <v>392</v>
      </c>
      <c r="U67" s="35" t="n">
        <v>13553</v>
      </c>
      <c r="V67" s="36" t="s">
        <v>131</v>
      </c>
      <c r="W67" s="37" t="s">
        <v>538</v>
      </c>
      <c r="X67" s="37"/>
      <c r="Y67" s="37"/>
      <c r="Z67" s="37" t="s">
        <v>99</v>
      </c>
      <c r="AA67" s="38" t="n">
        <v>1145000</v>
      </c>
      <c r="AB67" s="38" t="n">
        <v>996000</v>
      </c>
      <c r="AC67" s="38" t="n">
        <v>846000</v>
      </c>
      <c r="AD67" s="38" t="n">
        <v>1121000</v>
      </c>
      <c r="AE67" s="38" t="n">
        <v>985000</v>
      </c>
      <c r="AF67" s="38" t="n">
        <v>826000</v>
      </c>
      <c r="AG67" s="38" t="n">
        <v>1016000</v>
      </c>
      <c r="AH67" s="38" t="n">
        <f aca="false">AG67-AE67</f>
        <v>31000</v>
      </c>
      <c r="AI67" s="39" t="n">
        <f aca="false">IF(AE67=0,"",AH67/AE67)</f>
        <v>0.0314720812182741</v>
      </c>
      <c r="AJ67" s="40" t="str">
        <f aca="false">IF(AI67="","",IF(AI67&gt;=0.15,"STRONG",IF(AI67&gt;=0.1,"FILE",IF(AI67&gt;=0.07,"INVESTIGATE","PASS"))))</f>
        <v>PASS</v>
      </c>
    </row>
    <row r="68" customFormat="false" ht="15" hidden="false" customHeight="false" outlineLevel="0" collapsed="false">
      <c r="A68" s="29" t="s">
        <v>539</v>
      </c>
      <c r="B68" s="6" t="s">
        <v>540</v>
      </c>
      <c r="C68" s="6" t="s">
        <v>90</v>
      </c>
      <c r="D68" s="30" t="n">
        <v>34691</v>
      </c>
      <c r="E68" s="31" t="s">
        <v>153</v>
      </c>
      <c r="F68" s="6" t="s">
        <v>541</v>
      </c>
      <c r="G68" s="31" t="s">
        <v>542</v>
      </c>
      <c r="H68" s="6" t="n">
        <v>1</v>
      </c>
      <c r="I68" s="7" t="n">
        <v>46356</v>
      </c>
      <c r="J68" s="8" t="n">
        <v>46477</v>
      </c>
      <c r="N68" s="8"/>
      <c r="O68" s="6" t="s">
        <v>216</v>
      </c>
      <c r="P68" s="6" t="s">
        <v>543</v>
      </c>
      <c r="Q68" s="6" t="n">
        <v>3525214338</v>
      </c>
      <c r="R68" s="41" t="s">
        <v>544</v>
      </c>
      <c r="S68" s="35" t="n">
        <v>0</v>
      </c>
      <c r="T68" s="36" t="s">
        <v>500</v>
      </c>
      <c r="U68" s="35" t="n">
        <v>13395</v>
      </c>
      <c r="V68" s="36" t="s">
        <v>295</v>
      </c>
      <c r="W68" s="37" t="s">
        <v>544</v>
      </c>
      <c r="X68" s="37"/>
      <c r="Y68" s="37"/>
      <c r="Z68" s="37" t="s">
        <v>99</v>
      </c>
      <c r="AA68" s="38" t="n">
        <v>1668000</v>
      </c>
      <c r="AB68" s="38" t="n">
        <v>1451000</v>
      </c>
      <c r="AC68" s="38" t="n">
        <v>1233000</v>
      </c>
      <c r="AD68" s="38" t="n">
        <v>1624000</v>
      </c>
      <c r="AE68" s="38" t="n">
        <v>1434000</v>
      </c>
      <c r="AF68" s="38" t="n">
        <v>1243000</v>
      </c>
      <c r="AG68" s="38" t="n">
        <v>1742000</v>
      </c>
      <c r="AH68" s="38" t="n">
        <f aca="false">AG68-AE68</f>
        <v>308000</v>
      </c>
      <c r="AI68" s="39" t="n">
        <f aca="false">IF(AE68=0,"",AH68/AE68)</f>
        <v>0.214783821478382</v>
      </c>
      <c r="AJ68" s="40" t="str">
        <f aca="false">IF(AI68="","",IF(AI68&gt;=0.15,"STRONG",IF(AI68&gt;=0.1,"FILE",IF(AI68&gt;=0.07,"INVESTIGATE","PASS"))))</f>
        <v>STRONG</v>
      </c>
    </row>
    <row r="69" customFormat="false" ht="15" hidden="false" customHeight="false" outlineLevel="0" collapsed="false">
      <c r="A69" s="29" t="s">
        <v>545</v>
      </c>
      <c r="B69" s="6" t="s">
        <v>546</v>
      </c>
      <c r="C69" s="6" t="s">
        <v>90</v>
      </c>
      <c r="D69" s="30" t="n">
        <v>33774</v>
      </c>
      <c r="E69" s="31" t="s">
        <v>153</v>
      </c>
      <c r="F69" s="6" t="s">
        <v>547</v>
      </c>
      <c r="G69" s="31" t="s">
        <v>548</v>
      </c>
      <c r="H69" s="6" t="n">
        <v>1</v>
      </c>
      <c r="I69" s="7" t="n">
        <v>46356</v>
      </c>
      <c r="J69" s="8" t="n">
        <v>46477</v>
      </c>
      <c r="N69" s="8"/>
      <c r="O69" s="6" t="s">
        <v>216</v>
      </c>
      <c r="P69" s="6" t="s">
        <v>549</v>
      </c>
      <c r="Q69" s="6" t="n">
        <v>7274647777</v>
      </c>
      <c r="R69" s="41" t="s">
        <v>550</v>
      </c>
      <c r="S69" s="35" t="n">
        <v>0</v>
      </c>
      <c r="T69" s="36" t="s">
        <v>335</v>
      </c>
      <c r="U69" s="35" t="n">
        <v>18568</v>
      </c>
      <c r="V69" s="36" t="s">
        <v>440</v>
      </c>
      <c r="W69" s="37" t="s">
        <v>550</v>
      </c>
      <c r="X69" s="37"/>
      <c r="Y69" s="37"/>
      <c r="Z69" s="37" t="s">
        <v>99</v>
      </c>
      <c r="AA69" s="38" t="n">
        <v>3313000</v>
      </c>
      <c r="AB69" s="38" t="n">
        <v>2881000</v>
      </c>
      <c r="AC69" s="38" t="n">
        <v>2448000</v>
      </c>
      <c r="AD69" s="38" t="n">
        <v>3287000</v>
      </c>
      <c r="AE69" s="38" t="n">
        <v>2938000</v>
      </c>
      <c r="AF69" s="38" t="n">
        <v>2407000</v>
      </c>
      <c r="AG69" s="38" t="n">
        <v>3227000</v>
      </c>
      <c r="AH69" s="38" t="n">
        <f aca="false">AG69-AE69</f>
        <v>289000</v>
      </c>
      <c r="AI69" s="39" t="n">
        <f aca="false">IF(AE69=0,"",AH69/AE69)</f>
        <v>0.0983662355343771</v>
      </c>
      <c r="AJ69" s="40" t="str">
        <f aca="false">IF(AI69="","",IF(AI69&gt;=0.15,"STRONG",IF(AI69&gt;=0.1,"FILE",IF(AI69&gt;=0.07,"INVESTIGATE","PASS"))))</f>
        <v>INVESTIGATE</v>
      </c>
    </row>
    <row r="70" customFormat="false" ht="15" hidden="false" customHeight="false" outlineLevel="0" collapsed="false">
      <c r="A70" s="29" t="s">
        <v>551</v>
      </c>
      <c r="B70" s="6" t="s">
        <v>552</v>
      </c>
      <c r="C70" s="6" t="s">
        <v>90</v>
      </c>
      <c r="D70" s="30" t="n">
        <v>33323</v>
      </c>
      <c r="E70" s="31" t="s">
        <v>153</v>
      </c>
      <c r="F70" s="6" t="s">
        <v>553</v>
      </c>
      <c r="G70" s="31" t="s">
        <v>554</v>
      </c>
      <c r="H70" s="6" t="n">
        <v>1</v>
      </c>
      <c r="I70" s="7" t="n">
        <v>46356</v>
      </c>
      <c r="J70" s="8" t="n">
        <v>46477</v>
      </c>
      <c r="N70" s="8"/>
      <c r="O70" s="6" t="s">
        <v>216</v>
      </c>
      <c r="P70" s="6" t="s">
        <v>147</v>
      </c>
      <c r="Q70" s="6" t="n">
        <v>9548314000</v>
      </c>
      <c r="R70" s="41" t="s">
        <v>555</v>
      </c>
      <c r="S70" s="35" t="n">
        <v>0</v>
      </c>
      <c r="T70" s="36" t="s">
        <v>556</v>
      </c>
      <c r="U70" s="35" t="n">
        <v>18017</v>
      </c>
      <c r="V70" s="36" t="s">
        <v>150</v>
      </c>
      <c r="W70" s="37" t="s">
        <v>555</v>
      </c>
      <c r="X70" s="37" t="s">
        <v>557</v>
      </c>
      <c r="Y70" s="37"/>
      <c r="Z70" s="37" t="s">
        <v>99</v>
      </c>
      <c r="AA70" s="38" t="n">
        <v>4625000</v>
      </c>
      <c r="AB70" s="38" t="n">
        <v>4022000</v>
      </c>
      <c r="AC70" s="38" t="n">
        <v>3418000</v>
      </c>
      <c r="AD70" s="38" t="n">
        <v>4739000</v>
      </c>
      <c r="AE70" s="38" t="n">
        <v>4089000</v>
      </c>
      <c r="AF70" s="38" t="n">
        <v>3365000</v>
      </c>
      <c r="AG70" s="38" t="n">
        <v>4344000</v>
      </c>
      <c r="AH70" s="38" t="n">
        <f aca="false">AG70-AE70</f>
        <v>255000</v>
      </c>
      <c r="AI70" s="39" t="n">
        <f aca="false">IF(AE70=0,"",AH70/AE70)</f>
        <v>0.0623624358033749</v>
      </c>
      <c r="AJ70" s="40" t="str">
        <f aca="false">IF(AI70="","",IF(AI70&gt;=0.15,"STRONG",IF(AI70&gt;=0.1,"FILE",IF(AI70&gt;=0.07,"INVESTIGATE","PASS"))))</f>
        <v>PASS</v>
      </c>
    </row>
    <row r="71" customFormat="false" ht="15" hidden="false" customHeight="false" outlineLevel="0" collapsed="false">
      <c r="A71" s="29" t="s">
        <v>558</v>
      </c>
      <c r="B71" s="6" t="s">
        <v>559</v>
      </c>
      <c r="C71" s="6" t="s">
        <v>90</v>
      </c>
      <c r="D71" s="30" t="n">
        <v>32960</v>
      </c>
      <c r="E71" s="31" t="s">
        <v>153</v>
      </c>
      <c r="F71" s="6" t="s">
        <v>560</v>
      </c>
      <c r="G71" s="31" t="s">
        <v>561</v>
      </c>
      <c r="H71" s="6" t="n">
        <v>1</v>
      </c>
      <c r="J71" s="8" t="n">
        <v>46477</v>
      </c>
      <c r="N71" s="8"/>
      <c r="O71" s="6" t="s">
        <v>562</v>
      </c>
      <c r="P71" s="6" t="s">
        <v>563</v>
      </c>
      <c r="Q71" s="6" t="n">
        <v>7722261343</v>
      </c>
      <c r="R71" s="41" t="s">
        <v>564</v>
      </c>
      <c r="S71" s="35" t="n">
        <v>0</v>
      </c>
      <c r="T71" s="36" t="s">
        <v>370</v>
      </c>
      <c r="U71" s="35" t="n">
        <v>12262</v>
      </c>
      <c r="V71" s="36" t="s">
        <v>115</v>
      </c>
      <c r="W71" s="37" t="s">
        <v>564</v>
      </c>
      <c r="X71" s="37"/>
      <c r="Y71" s="37"/>
      <c r="Z71" s="37" t="s">
        <v>99</v>
      </c>
      <c r="AA71" s="38" t="n">
        <v>5164000</v>
      </c>
      <c r="AB71" s="38" t="n">
        <v>4491000</v>
      </c>
      <c r="AC71" s="38" t="n">
        <v>3817000</v>
      </c>
      <c r="AD71" s="38" t="n">
        <v>5019000</v>
      </c>
      <c r="AE71" s="38" t="n">
        <v>4449000</v>
      </c>
      <c r="AF71" s="38" t="n">
        <v>3708000</v>
      </c>
      <c r="AG71" s="38" t="n">
        <v>4581000</v>
      </c>
      <c r="AH71" s="38" t="n">
        <f aca="false">AG71-AE71</f>
        <v>132000</v>
      </c>
      <c r="AI71" s="39" t="n">
        <f aca="false">IF(AE71=0,"",AH71/AE71)</f>
        <v>0.0296695886716116</v>
      </c>
      <c r="AJ71" s="40" t="str">
        <f aca="false">IF(AI71="","",IF(AI71&gt;=0.15,"STRONG",IF(AI71&gt;=0.1,"FILE",IF(AI71&gt;=0.07,"INVESTIGATE","PASS"))))</f>
        <v>PASS</v>
      </c>
    </row>
    <row r="72" customFormat="false" ht="15" hidden="false" customHeight="false" outlineLevel="0" collapsed="false">
      <c r="A72" s="29" t="s">
        <v>565</v>
      </c>
      <c r="B72" s="6" t="s">
        <v>566</v>
      </c>
      <c r="C72" s="6" t="s">
        <v>90</v>
      </c>
      <c r="D72" s="30" t="n">
        <v>32137</v>
      </c>
      <c r="E72" s="31" t="s">
        <v>153</v>
      </c>
      <c r="F72" s="6" t="s">
        <v>567</v>
      </c>
      <c r="G72" s="31" t="s">
        <v>568</v>
      </c>
      <c r="H72" s="6" t="n">
        <v>1</v>
      </c>
      <c r="I72" s="7" t="n">
        <v>46356</v>
      </c>
      <c r="J72" s="8" t="n">
        <v>46477</v>
      </c>
      <c r="N72" s="8"/>
      <c r="O72" s="6" t="s">
        <v>569</v>
      </c>
      <c r="P72" s="6" t="s">
        <v>570</v>
      </c>
      <c r="Q72" s="6" t="n">
        <v>3863134008</v>
      </c>
      <c r="R72" s="41" t="s">
        <v>571</v>
      </c>
      <c r="S72" s="35" t="n">
        <v>0</v>
      </c>
      <c r="T72" s="36" t="s">
        <v>277</v>
      </c>
      <c r="U72" s="35" t="n">
        <v>24420</v>
      </c>
      <c r="V72" s="36" t="s">
        <v>115</v>
      </c>
      <c r="W72" s="37" t="s">
        <v>571</v>
      </c>
      <c r="X72" s="37"/>
      <c r="Y72" s="37"/>
      <c r="Z72" s="37" t="s">
        <v>99</v>
      </c>
      <c r="AA72" s="38" t="n">
        <v>4690000</v>
      </c>
      <c r="AB72" s="38" t="n">
        <v>4079000</v>
      </c>
      <c r="AC72" s="38" t="n">
        <v>3467000</v>
      </c>
      <c r="AD72" s="38" t="n">
        <v>4715000</v>
      </c>
      <c r="AE72" s="38" t="n">
        <v>4003000</v>
      </c>
      <c r="AF72" s="38" t="n">
        <v>3502000</v>
      </c>
      <c r="AG72" s="38" t="n">
        <v>4895000</v>
      </c>
      <c r="AH72" s="38" t="n">
        <f aca="false">AG72-AE72</f>
        <v>892000</v>
      </c>
      <c r="AI72" s="39" t="n">
        <f aca="false">IF(AE72=0,"",AH72/AE72)</f>
        <v>0.222832875343492</v>
      </c>
      <c r="AJ72" s="40" t="str">
        <f aca="false">IF(AI72="","",IF(AI72&gt;=0.15,"STRONG",IF(AI72&gt;=0.1,"FILE",IF(AI72&gt;=0.07,"INVESTIGATE","PASS"))))</f>
        <v>STRONG</v>
      </c>
    </row>
    <row r="73" customFormat="false" ht="15" hidden="false" customHeight="false" outlineLevel="0" collapsed="false">
      <c r="A73" s="29" t="s">
        <v>572</v>
      </c>
      <c r="B73" s="6" t="s">
        <v>573</v>
      </c>
      <c r="C73" s="6" t="s">
        <v>90</v>
      </c>
      <c r="D73" s="30" t="n">
        <v>33024</v>
      </c>
      <c r="E73" s="31" t="s">
        <v>161</v>
      </c>
      <c r="F73" s="6" t="s">
        <v>574</v>
      </c>
      <c r="G73" s="31" t="s">
        <v>575</v>
      </c>
      <c r="H73" s="6" t="n">
        <v>1</v>
      </c>
      <c r="J73" s="8" t="n">
        <v>46477</v>
      </c>
      <c r="O73" s="6" t="s">
        <v>164</v>
      </c>
      <c r="P73" s="6" t="s">
        <v>147</v>
      </c>
      <c r="Q73" s="6" t="s">
        <v>576</v>
      </c>
      <c r="R73" s="41" t="s">
        <v>577</v>
      </c>
      <c r="S73" s="35" t="n">
        <v>0</v>
      </c>
      <c r="T73" s="36" t="s">
        <v>262</v>
      </c>
      <c r="U73" s="35" t="n">
        <v>3874</v>
      </c>
      <c r="V73" s="36" t="s">
        <v>431</v>
      </c>
      <c r="W73" s="37" t="s">
        <v>577</v>
      </c>
      <c r="X73" s="37"/>
      <c r="Y73" s="37"/>
      <c r="Z73" s="37" t="s">
        <v>99</v>
      </c>
      <c r="AA73" s="38" t="n">
        <v>3619000</v>
      </c>
      <c r="AB73" s="38" t="n">
        <v>3147000</v>
      </c>
      <c r="AC73" s="38" t="n">
        <v>2674000</v>
      </c>
      <c r="AD73" s="38" t="n">
        <v>3636000</v>
      </c>
      <c r="AE73" s="38" t="n">
        <v>3099000</v>
      </c>
      <c r="AF73" s="38" t="n">
        <v>2744000</v>
      </c>
      <c r="AG73" s="38" t="n">
        <v>3525000</v>
      </c>
      <c r="AH73" s="38" t="n">
        <f aca="false">AG73-AE73</f>
        <v>426000</v>
      </c>
      <c r="AI73" s="39" t="n">
        <f aca="false">IF(AE73=0,"",AH73/AE73)</f>
        <v>0.137463697967086</v>
      </c>
      <c r="AJ73" s="40" t="str">
        <f aca="false">IF(AI73="","",IF(AI73&gt;=0.15,"STRONG",IF(AI73&gt;=0.1,"FILE",IF(AI73&gt;=0.07,"INVESTIGATE","PASS"))))</f>
        <v>FILE</v>
      </c>
    </row>
    <row r="74" customFormat="false" ht="15" hidden="false" customHeight="false" outlineLevel="0" collapsed="false">
      <c r="A74" s="29" t="s">
        <v>578</v>
      </c>
      <c r="B74" s="6" t="s">
        <v>579</v>
      </c>
      <c r="C74" s="6" t="s">
        <v>90</v>
      </c>
      <c r="D74" s="30" t="n">
        <v>33177</v>
      </c>
      <c r="E74" s="31" t="s">
        <v>161</v>
      </c>
      <c r="F74" s="6" t="s">
        <v>580</v>
      </c>
      <c r="G74" s="31" t="s">
        <v>581</v>
      </c>
      <c r="H74" s="6" t="n">
        <v>1</v>
      </c>
      <c r="J74" s="8" t="n">
        <v>46477</v>
      </c>
      <c r="O74" s="6" t="s">
        <v>164</v>
      </c>
      <c r="P74" s="6" t="s">
        <v>582</v>
      </c>
      <c r="Q74" s="6" t="s">
        <v>583</v>
      </c>
      <c r="R74" s="41" t="s">
        <v>584</v>
      </c>
      <c r="S74" s="35" t="n">
        <v>0</v>
      </c>
      <c r="T74" s="36" t="s">
        <v>294</v>
      </c>
      <c r="U74" s="35" t="n">
        <v>16392</v>
      </c>
      <c r="V74" s="36" t="s">
        <v>197</v>
      </c>
      <c r="W74" s="37" t="s">
        <v>584</v>
      </c>
      <c r="X74" s="37"/>
      <c r="Y74" s="37"/>
      <c r="Z74" s="37" t="s">
        <v>99</v>
      </c>
      <c r="AA74" s="38" t="n">
        <v>1447000</v>
      </c>
      <c r="AB74" s="38" t="n">
        <v>1259000</v>
      </c>
      <c r="AC74" s="38" t="n">
        <v>1070000</v>
      </c>
      <c r="AD74" s="38" t="n">
        <v>1411000</v>
      </c>
      <c r="AE74" s="38" t="n">
        <v>1278000</v>
      </c>
      <c r="AF74" s="38" t="n">
        <v>1066000</v>
      </c>
      <c r="AG74" s="38" t="n">
        <v>1360000</v>
      </c>
      <c r="AH74" s="38" t="n">
        <f aca="false">AG74-AE74</f>
        <v>82000</v>
      </c>
      <c r="AI74" s="39" t="n">
        <f aca="false">IF(AE74=0,"",AH74/AE74)</f>
        <v>0.0641627543035994</v>
      </c>
      <c r="AJ74" s="40" t="str">
        <f aca="false">IF(AI74="","",IF(AI74&gt;=0.15,"STRONG",IF(AI74&gt;=0.1,"FILE",IF(AI74&gt;=0.07,"INVESTIGATE","PASS"))))</f>
        <v>PASS</v>
      </c>
    </row>
    <row r="75" customFormat="false" ht="15" hidden="false" customHeight="false" outlineLevel="0" collapsed="false">
      <c r="A75" s="29" t="s">
        <v>585</v>
      </c>
      <c r="B75" s="6" t="s">
        <v>579</v>
      </c>
      <c r="C75" s="6" t="s">
        <v>90</v>
      </c>
      <c r="D75" s="30" t="n">
        <v>33174</v>
      </c>
      <c r="E75" s="31" t="s">
        <v>161</v>
      </c>
      <c r="F75" s="6" t="s">
        <v>586</v>
      </c>
      <c r="G75" s="31" t="s">
        <v>587</v>
      </c>
      <c r="H75" s="6" t="n">
        <v>1</v>
      </c>
      <c r="J75" s="8" t="n">
        <v>46477</v>
      </c>
      <c r="O75" s="6" t="s">
        <v>164</v>
      </c>
      <c r="P75" s="6" t="s">
        <v>582</v>
      </c>
      <c r="Q75" s="6" t="s">
        <v>583</v>
      </c>
      <c r="R75" s="6" t="s">
        <v>584</v>
      </c>
      <c r="S75" s="35" t="n">
        <v>0</v>
      </c>
      <c r="T75" s="36" t="s">
        <v>310</v>
      </c>
      <c r="U75" s="35" t="n">
        <v>15327</v>
      </c>
      <c r="V75" s="36" t="s">
        <v>169</v>
      </c>
      <c r="W75" s="37" t="s">
        <v>584</v>
      </c>
      <c r="X75" s="37"/>
      <c r="Y75" s="37"/>
      <c r="Z75" s="37" t="s">
        <v>99</v>
      </c>
      <c r="AA75" s="38" t="n">
        <v>3186000</v>
      </c>
      <c r="AB75" s="38" t="n">
        <v>2771000</v>
      </c>
      <c r="AC75" s="38" t="n">
        <v>2355000</v>
      </c>
      <c r="AD75" s="38" t="n">
        <v>3142000</v>
      </c>
      <c r="AE75" s="38" t="n">
        <v>2853000</v>
      </c>
      <c r="AF75" s="38" t="n">
        <v>2309000</v>
      </c>
      <c r="AG75" s="38" t="n">
        <v>2827000</v>
      </c>
      <c r="AH75" s="38" t="n">
        <f aca="false">AG75-AE75</f>
        <v>-26000</v>
      </c>
      <c r="AI75" s="39" t="n">
        <f aca="false">IF(AE75=0,"",AH75/AE75)</f>
        <v>-0.00911321416053277</v>
      </c>
      <c r="AJ75" s="40" t="str">
        <f aca="false">IF(AI75="","",IF(AI75&gt;=0.15,"STRONG",IF(AI75&gt;=0.1,"FILE",IF(AI75&gt;=0.07,"INVESTIGATE","PASS"))))</f>
        <v>PASS</v>
      </c>
    </row>
    <row r="76" customFormat="false" ht="15" hidden="false" customHeight="false" outlineLevel="0" collapsed="false">
      <c r="A76" s="29" t="s">
        <v>588</v>
      </c>
      <c r="B76" s="6" t="s">
        <v>589</v>
      </c>
      <c r="C76" s="6" t="s">
        <v>90</v>
      </c>
      <c r="D76" s="30" t="n">
        <v>33056</v>
      </c>
      <c r="E76" s="31" t="s">
        <v>161</v>
      </c>
      <c r="F76" s="6" t="s">
        <v>590</v>
      </c>
      <c r="G76" s="31" t="s">
        <v>591</v>
      </c>
      <c r="H76" s="6" t="n">
        <v>1</v>
      </c>
      <c r="J76" s="8" t="n">
        <v>46477</v>
      </c>
      <c r="O76" s="6" t="s">
        <v>164</v>
      </c>
      <c r="P76" s="6" t="s">
        <v>582</v>
      </c>
      <c r="Q76" s="6" t="s">
        <v>583</v>
      </c>
      <c r="R76" s="6" t="s">
        <v>584</v>
      </c>
      <c r="S76" s="35" t="n">
        <v>0</v>
      </c>
      <c r="T76" s="36" t="s">
        <v>592</v>
      </c>
      <c r="U76" s="35" t="n">
        <v>18862</v>
      </c>
      <c r="V76" s="36" t="s">
        <v>593</v>
      </c>
      <c r="W76" s="37" t="s">
        <v>584</v>
      </c>
      <c r="X76" s="37"/>
      <c r="Y76" s="37"/>
      <c r="Z76" s="37" t="s">
        <v>99</v>
      </c>
      <c r="AA76" s="38" t="n">
        <v>1854000</v>
      </c>
      <c r="AB76" s="38" t="n">
        <v>1613000</v>
      </c>
      <c r="AC76" s="38" t="n">
        <v>1371000</v>
      </c>
      <c r="AD76" s="38" t="n">
        <v>1821000</v>
      </c>
      <c r="AE76" s="38" t="n">
        <v>1644000</v>
      </c>
      <c r="AF76" s="38" t="n">
        <v>1392000</v>
      </c>
      <c r="AG76" s="38" t="n">
        <v>1936000</v>
      </c>
      <c r="AH76" s="38" t="n">
        <f aca="false">AG76-AE76</f>
        <v>292000</v>
      </c>
      <c r="AI76" s="39" t="n">
        <f aca="false">IF(AE76=0,"",AH76/AE76)</f>
        <v>0.177615571776156</v>
      </c>
      <c r="AJ76" s="40" t="str">
        <f aca="false">IF(AI76="","",IF(AI76&gt;=0.15,"STRONG",IF(AI76&gt;=0.1,"FILE",IF(AI76&gt;=0.07,"INVESTIGATE","PASS"))))</f>
        <v>STRONG</v>
      </c>
    </row>
    <row r="77" customFormat="false" ht="15" hidden="false" customHeight="false" outlineLevel="0" collapsed="false">
      <c r="A77" s="29" t="s">
        <v>594</v>
      </c>
      <c r="B77" s="6" t="s">
        <v>589</v>
      </c>
      <c r="C77" s="6" t="s">
        <v>90</v>
      </c>
      <c r="D77" s="30" t="n">
        <v>33055</v>
      </c>
      <c r="E77" s="31" t="s">
        <v>161</v>
      </c>
      <c r="F77" s="6" t="s">
        <v>595</v>
      </c>
      <c r="G77" s="31" t="s">
        <v>596</v>
      </c>
      <c r="H77" s="6" t="n">
        <v>1</v>
      </c>
      <c r="J77" s="8" t="n">
        <v>46477</v>
      </c>
      <c r="O77" s="6" t="s">
        <v>164</v>
      </c>
      <c r="P77" s="6" t="s">
        <v>582</v>
      </c>
      <c r="Q77" s="6" t="s">
        <v>583</v>
      </c>
      <c r="R77" s="41" t="s">
        <v>584</v>
      </c>
      <c r="S77" s="35" t="n">
        <v>0</v>
      </c>
      <c r="T77" s="36" t="s">
        <v>310</v>
      </c>
      <c r="U77" s="35" t="n">
        <v>5173</v>
      </c>
      <c r="V77" s="36" t="s">
        <v>371</v>
      </c>
      <c r="W77" s="37" t="s">
        <v>584</v>
      </c>
      <c r="X77" s="37" t="s">
        <v>597</v>
      </c>
      <c r="Y77" s="37" t="s">
        <v>598</v>
      </c>
      <c r="Z77" s="37" t="s">
        <v>99</v>
      </c>
      <c r="AA77" s="38" t="n">
        <v>316000</v>
      </c>
      <c r="AB77" s="38" t="n">
        <v>275000</v>
      </c>
      <c r="AC77" s="38" t="n">
        <v>233000</v>
      </c>
      <c r="AD77" s="38" t="n">
        <v>312000</v>
      </c>
      <c r="AE77" s="38" t="n">
        <v>282000</v>
      </c>
      <c r="AF77" s="38" t="n">
        <v>235000</v>
      </c>
      <c r="AG77" s="38" t="n">
        <v>308000</v>
      </c>
      <c r="AH77" s="38" t="n">
        <f aca="false">AG77-AE77</f>
        <v>26000</v>
      </c>
      <c r="AI77" s="39" t="n">
        <f aca="false">IF(AE77=0,"",AH77/AE77)</f>
        <v>0.0921985815602837</v>
      </c>
      <c r="AJ77" s="40" t="str">
        <f aca="false">IF(AI77="","",IF(AI77&gt;=0.15,"STRONG",IF(AI77&gt;=0.1,"FILE",IF(AI77&gt;=0.07,"INVESTIGATE","PASS"))))</f>
        <v>INVESTIGATE</v>
      </c>
    </row>
    <row r="78" customFormat="false" ht="15" hidden="false" customHeight="false" outlineLevel="0" collapsed="false">
      <c r="A78" s="29" t="s">
        <v>599</v>
      </c>
      <c r="B78" s="6" t="s">
        <v>600</v>
      </c>
      <c r="C78" s="6" t="s">
        <v>280</v>
      </c>
      <c r="D78" s="30" t="n">
        <v>8505</v>
      </c>
      <c r="E78" s="31" t="s">
        <v>249</v>
      </c>
      <c r="F78" s="6" t="s">
        <v>601</v>
      </c>
      <c r="G78" s="31"/>
      <c r="J78" s="8" t="s">
        <v>602</v>
      </c>
      <c r="N78" s="8"/>
      <c r="O78" s="6" t="s">
        <v>216</v>
      </c>
      <c r="S78" s="35" t="n">
        <v>81194</v>
      </c>
      <c r="T78" s="43"/>
      <c r="U78" s="43"/>
      <c r="V78" s="43"/>
      <c r="W78" s="37" t="s">
        <v>603</v>
      </c>
      <c r="X78" s="37"/>
      <c r="Y78" s="37"/>
      <c r="Z78" s="37" t="s">
        <v>99</v>
      </c>
      <c r="AA78" s="38" t="n">
        <v>4194000</v>
      </c>
      <c r="AB78" s="38" t="n">
        <v>3647000</v>
      </c>
      <c r="AC78" s="38" t="n">
        <v>3099000</v>
      </c>
      <c r="AD78" s="38" t="n">
        <v>4127000</v>
      </c>
      <c r="AE78" s="38" t="n">
        <v>3544000</v>
      </c>
      <c r="AF78" s="38" t="n">
        <v>3085000</v>
      </c>
      <c r="AG78" s="38" t="n">
        <v>3939000</v>
      </c>
      <c r="AH78" s="38" t="n">
        <f aca="false">AG78-AE78</f>
        <v>395000</v>
      </c>
      <c r="AI78" s="39" t="n">
        <f aca="false">IF(AE78=0,"",AH78/AE78)</f>
        <v>0.111455981941309</v>
      </c>
      <c r="AJ78" s="40" t="str">
        <f aca="false">IF(AI78="","",IF(AI78&gt;=0.15,"STRONG",IF(AI78&gt;=0.1,"FILE",IF(AI78&gt;=0.07,"INVESTIGATE","PASS"))))</f>
        <v>FILE</v>
      </c>
    </row>
    <row r="79" customFormat="false" ht="15" hidden="false" customHeight="false" outlineLevel="0" collapsed="false">
      <c r="A79" s="29" t="s">
        <v>604</v>
      </c>
      <c r="B79" s="6" t="s">
        <v>605</v>
      </c>
      <c r="C79" s="6" t="s">
        <v>280</v>
      </c>
      <c r="D79" s="30" t="n">
        <v>8203</v>
      </c>
      <c r="E79" s="31" t="s">
        <v>249</v>
      </c>
      <c r="F79" s="6" t="s">
        <v>606</v>
      </c>
      <c r="G79" s="31"/>
      <c r="J79" s="8" t="s">
        <v>602</v>
      </c>
      <c r="N79" s="8"/>
      <c r="O79" s="6" t="s">
        <v>216</v>
      </c>
      <c r="S79" s="35" t="n">
        <v>0</v>
      </c>
      <c r="T79" s="36" t="s">
        <v>158</v>
      </c>
      <c r="U79" s="35" t="n">
        <v>20309</v>
      </c>
      <c r="V79" s="36" t="s">
        <v>299</v>
      </c>
      <c r="W79" s="37" t="s">
        <v>607</v>
      </c>
      <c r="X79" s="37"/>
      <c r="Y79" s="37"/>
      <c r="Z79" s="37" t="s">
        <v>99</v>
      </c>
      <c r="AA79" s="38" t="n">
        <v>3622000</v>
      </c>
      <c r="AB79" s="38" t="n">
        <v>3150000</v>
      </c>
      <c r="AC79" s="38" t="n">
        <v>2677000</v>
      </c>
      <c r="AD79" s="38" t="n">
        <v>3592000</v>
      </c>
      <c r="AE79" s="38" t="n">
        <v>3136000</v>
      </c>
      <c r="AF79" s="38" t="n">
        <v>2600000</v>
      </c>
      <c r="AG79" s="38" t="n">
        <v>3214000</v>
      </c>
      <c r="AH79" s="38" t="n">
        <f aca="false">AG79-AE79</f>
        <v>78000</v>
      </c>
      <c r="AI79" s="39" t="n">
        <f aca="false">IF(AE79=0,"",AH79/AE79)</f>
        <v>0.0248724489795918</v>
      </c>
      <c r="AJ79" s="40" t="str">
        <f aca="false">IF(AI79="","",IF(AI79&gt;=0.15,"STRONG",IF(AI79&gt;=0.1,"FILE",IF(AI79&gt;=0.07,"INVESTIGATE","PASS"))))</f>
        <v>PASS</v>
      </c>
    </row>
    <row r="80" customFormat="false" ht="15" hidden="false" customHeight="false" outlineLevel="0" collapsed="false">
      <c r="A80" s="29" t="s">
        <v>608</v>
      </c>
      <c r="B80" s="6" t="s">
        <v>609</v>
      </c>
      <c r="C80" s="6" t="s">
        <v>280</v>
      </c>
      <c r="D80" s="30" t="n">
        <v>8109</v>
      </c>
      <c r="E80" s="31" t="s">
        <v>249</v>
      </c>
      <c r="F80" s="6" t="s">
        <v>610</v>
      </c>
      <c r="G80" s="31"/>
      <c r="J80" s="8" t="s">
        <v>602</v>
      </c>
      <c r="N80" s="8"/>
      <c r="O80" s="6" t="s">
        <v>216</v>
      </c>
      <c r="S80" s="35" t="n">
        <v>0</v>
      </c>
      <c r="T80" s="36" t="s">
        <v>611</v>
      </c>
      <c r="U80" s="35" t="n">
        <v>19306</v>
      </c>
      <c r="V80" s="36" t="s">
        <v>318</v>
      </c>
      <c r="W80" s="37" t="s">
        <v>612</v>
      </c>
      <c r="X80" s="37"/>
      <c r="Y80" s="37"/>
      <c r="Z80" s="37" t="s">
        <v>99</v>
      </c>
      <c r="AA80" s="38" t="n">
        <v>3156000</v>
      </c>
      <c r="AB80" s="38" t="n">
        <v>2745000</v>
      </c>
      <c r="AC80" s="38" t="n">
        <v>2333000</v>
      </c>
      <c r="AD80" s="38" t="n">
        <v>3188000</v>
      </c>
      <c r="AE80" s="38" t="n">
        <v>2702000</v>
      </c>
      <c r="AF80" s="38" t="n">
        <v>2335000</v>
      </c>
      <c r="AG80" s="38" t="n">
        <v>3295000</v>
      </c>
      <c r="AH80" s="38" t="n">
        <f aca="false">AG80-AE80</f>
        <v>593000</v>
      </c>
      <c r="AI80" s="39" t="n">
        <f aca="false">IF(AE80=0,"",AH80/AE80)</f>
        <v>0.219467061435973</v>
      </c>
      <c r="AJ80" s="40" t="str">
        <f aca="false">IF(AI80="","",IF(AI80&gt;=0.15,"STRONG",IF(AI80&gt;=0.1,"FILE",IF(AI80&gt;=0.07,"INVESTIGATE","PASS"))))</f>
        <v>STRONG</v>
      </c>
    </row>
    <row r="81" customFormat="false" ht="15" hidden="false" customHeight="false" outlineLevel="0" collapsed="false">
      <c r="A81" s="29" t="s">
        <v>613</v>
      </c>
      <c r="B81" s="6" t="s">
        <v>614</v>
      </c>
      <c r="C81" s="6" t="s">
        <v>280</v>
      </c>
      <c r="D81" s="30" t="n">
        <v>8225</v>
      </c>
      <c r="E81" s="31" t="s">
        <v>249</v>
      </c>
      <c r="F81" s="6" t="s">
        <v>615</v>
      </c>
      <c r="G81" s="31"/>
      <c r="J81" s="8" t="s">
        <v>602</v>
      </c>
      <c r="N81" s="8"/>
      <c r="O81" s="6" t="s">
        <v>216</v>
      </c>
      <c r="S81" s="35" t="n">
        <v>0</v>
      </c>
      <c r="T81" s="36" t="s">
        <v>168</v>
      </c>
      <c r="U81" s="35" t="n">
        <v>15464</v>
      </c>
      <c r="V81" s="36" t="s">
        <v>115</v>
      </c>
      <c r="W81" s="37" t="s">
        <v>616</v>
      </c>
      <c r="X81" s="37"/>
      <c r="Y81" s="37"/>
      <c r="Z81" s="37" t="s">
        <v>99</v>
      </c>
      <c r="AA81" s="38" t="n">
        <v>3122000</v>
      </c>
      <c r="AB81" s="38" t="n">
        <v>2715000</v>
      </c>
      <c r="AC81" s="38" t="n">
        <v>2307000</v>
      </c>
      <c r="AD81" s="38" t="n">
        <v>3097000</v>
      </c>
      <c r="AE81" s="38" t="n">
        <v>2758000</v>
      </c>
      <c r="AF81" s="38" t="n">
        <v>2286000</v>
      </c>
      <c r="AG81" s="38" t="n">
        <v>3041000</v>
      </c>
      <c r="AH81" s="38" t="n">
        <f aca="false">AG81-AE81</f>
        <v>283000</v>
      </c>
      <c r="AI81" s="39" t="n">
        <f aca="false">IF(AE81=0,"",AH81/AE81)</f>
        <v>0.102610587382161</v>
      </c>
      <c r="AJ81" s="40" t="str">
        <f aca="false">IF(AI81="","",IF(AI81&gt;=0.15,"STRONG",IF(AI81&gt;=0.1,"FILE",IF(AI81&gt;=0.07,"INVESTIGATE","PASS"))))</f>
        <v>FILE</v>
      </c>
    </row>
    <row r="82" customFormat="false" ht="15" hidden="false" customHeight="false" outlineLevel="0" collapsed="false">
      <c r="A82" s="29" t="s">
        <v>617</v>
      </c>
      <c r="B82" s="6" t="s">
        <v>618</v>
      </c>
      <c r="C82" s="6" t="s">
        <v>280</v>
      </c>
      <c r="D82" s="30" t="n">
        <v>8043</v>
      </c>
      <c r="E82" s="31" t="s">
        <v>249</v>
      </c>
      <c r="F82" s="6" t="s">
        <v>619</v>
      </c>
      <c r="G82" s="31"/>
      <c r="J82" s="8" t="s">
        <v>602</v>
      </c>
      <c r="N82" s="8"/>
      <c r="O82" s="6" t="s">
        <v>216</v>
      </c>
      <c r="S82" s="35" t="n">
        <v>0</v>
      </c>
      <c r="T82" s="36" t="s">
        <v>114</v>
      </c>
      <c r="U82" s="35" t="n">
        <v>21607</v>
      </c>
      <c r="V82" s="36" t="s">
        <v>295</v>
      </c>
      <c r="W82" s="37" t="s">
        <v>620</v>
      </c>
      <c r="X82" s="37"/>
      <c r="Y82" s="37"/>
      <c r="Z82" s="37" t="s">
        <v>99</v>
      </c>
      <c r="AA82" s="38" t="n">
        <v>3039000</v>
      </c>
      <c r="AB82" s="38" t="n">
        <v>2643000</v>
      </c>
      <c r="AC82" s="38" t="n">
        <v>2246000</v>
      </c>
      <c r="AD82" s="38" t="n">
        <v>2965000</v>
      </c>
      <c r="AE82" s="38" t="n">
        <v>2696000</v>
      </c>
      <c r="AF82" s="38" t="n">
        <v>2182000</v>
      </c>
      <c r="AG82" s="38" t="n">
        <v>2855000</v>
      </c>
      <c r="AH82" s="38" t="n">
        <f aca="false">AG82-AE82</f>
        <v>159000</v>
      </c>
      <c r="AI82" s="39" t="n">
        <f aca="false">IF(AE82=0,"",AH82/AE82)</f>
        <v>0.0589762611275964</v>
      </c>
      <c r="AJ82" s="40" t="str">
        <f aca="false">IF(AI82="","",IF(AI82&gt;=0.15,"STRONG",IF(AI82&gt;=0.1,"FILE",IF(AI82&gt;=0.07,"INVESTIGATE","PASS"))))</f>
        <v>PASS</v>
      </c>
    </row>
    <row r="83" customFormat="false" ht="15" hidden="false" customHeight="false" outlineLevel="0" collapsed="false">
      <c r="A83" s="48" t="s">
        <v>621</v>
      </c>
      <c r="B83" s="49" t="s">
        <v>622</v>
      </c>
      <c r="C83" s="49" t="s">
        <v>280</v>
      </c>
      <c r="D83" s="50" t="n">
        <v>8903</v>
      </c>
      <c r="E83" s="51" t="s">
        <v>249</v>
      </c>
      <c r="F83" s="49" t="s">
        <v>623</v>
      </c>
      <c r="G83" s="51"/>
      <c r="H83" s="49"/>
      <c r="I83" s="52"/>
      <c r="J83" s="53" t="s">
        <v>602</v>
      </c>
      <c r="K83" s="53"/>
      <c r="L83" s="53"/>
      <c r="M83" s="54"/>
      <c r="N83" s="53"/>
      <c r="O83" s="49" t="s">
        <v>216</v>
      </c>
      <c r="P83" s="49"/>
      <c r="Q83" s="49"/>
      <c r="R83" s="49"/>
      <c r="S83" s="35" t="n">
        <v>0</v>
      </c>
      <c r="T83" s="36" t="s">
        <v>114</v>
      </c>
      <c r="U83" s="35" t="n">
        <v>14622</v>
      </c>
      <c r="V83" s="36" t="s">
        <v>303</v>
      </c>
      <c r="W83" s="37" t="s">
        <v>624</v>
      </c>
      <c r="X83" s="37"/>
      <c r="Y83" s="37"/>
      <c r="Z83" s="37" t="s">
        <v>99</v>
      </c>
      <c r="AA83" s="38" t="n">
        <v>1612000</v>
      </c>
      <c r="AB83" s="38" t="n">
        <v>1402000</v>
      </c>
      <c r="AC83" s="38" t="n">
        <v>1191000</v>
      </c>
      <c r="AD83" s="38" t="n">
        <v>1607000</v>
      </c>
      <c r="AE83" s="38" t="n">
        <v>1363000</v>
      </c>
      <c r="AF83" s="38" t="n">
        <v>1209000</v>
      </c>
      <c r="AG83" s="38" t="n">
        <v>1431000</v>
      </c>
      <c r="AH83" s="38" t="n">
        <f aca="false">AG83-AE83</f>
        <v>68000</v>
      </c>
      <c r="AI83" s="39" t="n">
        <f aca="false">IF(AE83=0,"",AH83/AE83)</f>
        <v>0.0498899486426999</v>
      </c>
      <c r="AJ83" s="40" t="str">
        <f aca="false">IF(AI83="","",IF(AI83&gt;=0.15,"STRONG",IF(AI83&gt;=0.1,"FILE",IF(AI83&gt;=0.07,"INVESTIGATE","PASS"))))</f>
        <v>PASS</v>
      </c>
    </row>
    <row r="85" s="6" customFormat="true" ht="15" hidden="false" customHeight="false" outlineLevel="0" collapsed="false">
      <c r="A85" s="5"/>
      <c r="I85" s="7"/>
      <c r="J85" s="55"/>
      <c r="K85" s="8"/>
      <c r="L85" s="8"/>
      <c r="M85" s="9"/>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row>
    <row r="86" s="6" customFormat="true" ht="15" hidden="false" customHeight="false" outlineLevel="0" collapsed="false">
      <c r="A86" s="5"/>
      <c r="I86" s="7"/>
      <c r="J86" s="55"/>
      <c r="K86" s="8"/>
      <c r="L86" s="8"/>
      <c r="M86" s="9"/>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row>
    <row r="87" s="6" customFormat="true" ht="15" hidden="false" customHeight="false" outlineLevel="0" collapsed="false">
      <c r="A87" s="5"/>
      <c r="I87" s="7"/>
      <c r="J87" s="8"/>
      <c r="K87" s="8"/>
      <c r="L87" s="8"/>
      <c r="M87" s="9"/>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row>
    <row r="89" s="6" customFormat="true" ht="15" hidden="false" customHeight="false" outlineLevel="0" collapsed="false">
      <c r="A89" s="5"/>
      <c r="I89" s="7"/>
      <c r="J89" s="8"/>
      <c r="K89" s="8"/>
      <c r="L89" s="8"/>
      <c r="M89" s="9"/>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row>
  </sheetData>
  <autoFilter ref="A3:R83"/>
  <mergeCells count="8">
    <mergeCell ref="A2:D2"/>
    <mergeCell ref="E2:F2"/>
    <mergeCell ref="I2:M2"/>
    <mergeCell ref="S2:V2"/>
    <mergeCell ref="W2:Y2"/>
    <mergeCell ref="Z2:AC2"/>
    <mergeCell ref="AD2:AF2"/>
    <mergeCell ref="AG2:AJ2"/>
  </mergeCells>
  <conditionalFormatting sqref="A4:R83">
    <cfRule type="expression" priority="2" aboveAverage="0" equalAverage="0" bottom="0" percent="0" rank="0" text="" dxfId="5">
      <formula>MOD(ROW(),2)=1</formula>
    </cfRule>
  </conditionalFormatting>
  <conditionalFormatting sqref="A4:XFD1048576">
    <cfRule type="expression" priority="3" aboveAverage="0" equalAverage="0" bottom="0" percent="0" rank="0" text="" dxfId="6">
      <formula>MOD(ROW(),2)=1</formula>
    </cfRule>
  </conditionalFormatting>
  <conditionalFormatting sqref="AJ4:AJ83">
    <cfRule type="cellIs" priority="4" operator="equal" aboveAverage="0" equalAverage="0" bottom="0" percent="0" rank="0" text="" dxfId="7">
      <formula>"STRONG"</formula>
    </cfRule>
    <cfRule type="cellIs" priority="5" operator="equal" aboveAverage="0" equalAverage="0" bottom="0" percent="0" rank="0" text="" dxfId="8">
      <formula>"FILE"</formula>
    </cfRule>
    <cfRule type="cellIs" priority="6" operator="equal" aboveAverage="0" equalAverage="0" bottom="0" percent="0" rank="0" text="" dxfId="9">
      <formula>"INVESTIGATE"</formula>
    </cfRule>
    <cfRule type="cellIs" priority="7" operator="equal" aboveAverage="0" equalAverage="0" bottom="0" percent="0" rank="0" text="" dxfId="10">
      <formula>"PASS"</formula>
    </cfRule>
  </conditionalFormatting>
  <hyperlinks>
    <hyperlink ref="R4" r:id="rId2" display="https://county-taxes.net/fl-clay/property-tax/Y2xheTpyZWFsX2VzdGF0ZTpwYXJlbnRzOjM2OTQwMzc0LTM0N2MtMTFlZC05NzQ1LThlM2ZlZjFhN2Q3MQ=="/>
    <hyperlink ref="R5" r:id="rId3" display="https://county-taxes.net/fl-clay/fl-clay/property-tax/Y2xheTpyZWFsX2VzdGF0ZTpwYXJlbnRzOjUwMWFhMGI0LTM0N2MtMTFlZC1hZmNhLTMzN2E4MWM5MGY1MA=="/>
    <hyperlink ref="R6" r:id="rId4" display="https://ptaxweb.putnamtax.com/ptaxweb/editPropertySearch2.action"/>
    <hyperlink ref="R7" r:id="rId5" display="https://www.stjohnstax.us/PropertyDetail?p=173800-0030&amp;y=2024&amp;b=127955.0000"/>
    <hyperlink ref="R8" r:id="rId6" display="https://pbctax.publicaccessnow.com/PropertyTax/Account/BillDetail.aspx?p=74-43-43-21-01-043-0050&amp;t=Real%20Property&amp;a=1418360&amp;b=26795046&amp;y=2024&amp;n=101606030"/>
    <hyperlink ref="R9" r:id="rId7" display="https://pinellastaxcollector.gov/property-tax/"/>
    <hyperlink ref="R10" r:id="rId8" display="www.broward.org"/>
    <hyperlink ref="R11" r:id="rId9" display="https://county-taxes.net/fl-collier/property-tax/Y29sbGllcjpyZWFsX2VzdGF0ZTpwYXJlbnRzOmQ0MzUyMmQ5LWU1MDgtMTFlYi1hODBmLTAwNTA1NjgxYTJiNw=="/>
    <hyperlink ref="R12" r:id="rId10" display="https://www.pbctax.com/real-estate-property-tax/"/>
    <hyperlink ref="R13" r:id="rId11" display="https://common2.mptsweb.com/MBC/lake/tax/main/026301280000/2024/0000"/>
    <hyperlink ref="R14" r:id="rId12" display="https://parcelinquirytreasurer.cochise.az.gov/Parcel/PaymentHistory?parcelNumber=40909081D0&amp;taxYear=2024"/>
    <hyperlink ref="R15" r:id="rId13" display="http://www.to.pima.gov/"/>
    <hyperlink ref="R16" r:id="rId14" display="https://www.bernco.gov/treasurer/paying-your-property-taxes-overview/"/>
    <hyperlink ref="R17" r:id="rId15" display="https://www.hennepin.us/propertytaxpayments/"/>
    <hyperlink ref="R18" r:id="rId16" display="https://tax.egov.basgov.com/riverhead/TaxBill/BillDetailsPaymentOptions?TaxBillID=93938c45-39ac-ef11-9968-509a4c486007"/>
    <hyperlink ref="R19" r:id="rId17" display="https://tax.egov.basgov.com/riverhead/TaxBill/BillDetailsPaymentOptions?TaxBillID=93938c45-39ac-ef11-9968-509a4c486007"/>
    <hyperlink ref="R20" r:id="rId18" display="https://chesterfield.virginiainteractive.org/Treasurer/Main"/>
    <hyperlink ref="R21" r:id="rId19" display="https://pay.vbepay.com/Citizen/ViewAccount/364817"/>
    <hyperlink ref="R23" r:id="rId20" display="https://publicaccess.dekalbtax.org/Datalets/Datalet.aspx?sIndex=2&amp;idx=1"/>
    <hyperlink ref="R24" r:id="rId21" display="https://muscogeecountyga.governmentwindow.com/select_bill.html?search_mode=search2&amp;tax_year=2018&amp;name=&amp;map_code=085+008+002&amp;address="/>
    <hyperlink ref="R25" r:id="rId22" display="https://www.fultoncountytaxes.org/propertytax/summary/17%20000600030484"/>
    <hyperlink ref="R26" r:id="rId23" location="taxPage4546" display="https://wipp.edmundsassoc.com/Wipp/?wippid=0417#taxPage4546"/>
    <hyperlink ref="R27" r:id="rId24" display="www.solanocounty.com"/>
    <hyperlink ref="R28" r:id="rId25" display="www.solanocounty.com"/>
    <hyperlink ref="R29" r:id="rId26" display="www.solanocounty.com"/>
    <hyperlink ref="R30" r:id="rId27" display="https://common3.mptsweb.com/MBC/eldorado/tax/main/327130040000/2024/0000"/>
    <hyperlink ref="R31" r:id="rId28" display="https://common3.mptsweb.com/MBC/placer/tax/main/048520006000/2024/0000"/>
    <hyperlink ref="R32" r:id="rId29" display="https://common3.mptsweb.com/MBC/tuolumne/tax/main/001201010000/2024/0000"/>
    <hyperlink ref="R33" r:id="rId30" display="www.rpso.org"/>
    <hyperlink ref="R34" r:id="rId31" display="https://snstaxpayments.com/ebr"/>
    <hyperlink ref="R35" r:id="rId32" display="https://snstaxpayments.com/calcasieu"/>
    <hyperlink ref="R36" r:id="rId33" display="https://snstaxpayments.com/stlandry"/>
    <hyperlink ref="R37" r:id="rId34" display="https://www.bgky.org/property-tax-search/invoices/156635"/>
    <hyperlink ref="R38" r:id="rId35" display="https://www.bgky.org/property-tax-search/invoices/156635"/>
    <hyperlink ref="R39" r:id="rId36" display="https://services.wake.gov/ptax/main/billing/acctsummary.aspx?search=acct&amp;yrs=2&amp;id=229546"/>
    <hyperlink ref="R40" r:id="rId37" display="https://bcpwa.ncptscloud.com/guilfordtax/BillDetails.aspx?BillPk=11242368"/>
    <hyperlink ref="R41" r:id="rId38" display="http://www.co.cumberland.nc.us/tax/payments/"/>
    <hyperlink ref="R42" r:id="rId39" display="https://secure.webtaxpay.com/?county=franklin&amp;state=NC"/>
    <hyperlink ref="R43" r:id="rId40" display="http://taxweb.guilfordcountync.gov/PublicWebAccess/"/>
    <hyperlink ref="R44" r:id="rId41" display="http://taxweb.guilfordcountync.gov/PublicWebAccess/"/>
    <hyperlink ref="R45" r:id="rId42" display="http://www.forsyth.cc/tax/taxbill.aspx"/>
    <hyperlink ref="R46" r:id="rId43" display="http://www.wakegov.com/tax/Pages/default.aspx"/>
    <hyperlink ref="R47" r:id="rId44" display="https://nashcountync.gov/498/Tax-Payments"/>
    <hyperlink ref="R48" r:id="rId45" display="http://www.forsyth.cc/tax/taxbill.aspx"/>
    <hyperlink ref="R49" r:id="rId46" display="https://publicaccess.claytoncountyga.gov/search/CommonSearch.aspx?mode=REALPROP"/>
    <hyperlink ref="R50" r:id="rId47" display="https://publicaccess.claytoncountyga.gov/search/CommonSearch.aspx?mode=REALPROP"/>
    <hyperlink ref="R51" r:id="rId48" display="www.taylor-cad.org"/>
    <hyperlink ref="R52" r:id="rId49" display="http://iswdataclient.azurewebsites.net/webSearchID.aspx?dbkey=midlandcad"/>
    <hyperlink ref="R53" r:id="rId50" location="/Search" display="https://ascent.co.manitowoc.wi.us/LandRecords/PropertyListing/RealEstateTaxParcel#/Search"/>
    <hyperlink ref="R58" r:id="rId51" display="https://esearch.hctax.info/Property/View/23748?year=2024&amp;ownerId=1385747"/>
    <hyperlink ref="R62" r:id="rId52" display="https://taxweb.dentoncounty.gov/Accounts/AccountDetails?taxAccountNumber=204320DEN"/>
    <hyperlink ref="R66" r:id="rId53" display="https://county-taxes.net/hillsborough/hillsborough/property-tax/aGlsbHNib3JvdWdoOnJlYWxfZXN0YXRlOnBhcmVudHM6ZjYxM2RkNGQtZTUwOS0xMWViLWFmNmMtMDA1MDU2ODFiMmNm/bills/b3f75606-85a3-11ef-b227-00505681f4ed"/>
    <hyperlink ref="R67" r:id="rId54" display="https://county-taxes.net/charlotte/property-tax/Y2hhcmxvdHRlOnJlYWxfZXN0YXRlOnBhcmVudHM6ZmRhZjExNTEtZTUwOS0xMWViLTk1NGItMDA1MDU2ODFjYmE3"/>
    <hyperlink ref="R68" r:id="rId55" display="https://county-taxes.net/fl-pasco/property-tax/cGFzY286cmVhbF9lc3RhdGU6cGFyZW50czpiYTM1MjBmMS1lMzY4LTExZWItOGVkMi0wMDUwNTY4MWFmMWU="/>
    <hyperlink ref="R69" r:id="rId56" display="https://county-taxes.net/pinellas/property-tax/cGluZWxsYXM6cmVhbF9lc3RhdGU6cGFyZW50czpiYTYyMzFiZC1lMzY4LTExZWItOTRkMS0wMDUwNTY4MTUwMjg="/>
    <hyperlink ref="R70" r:id="rId57" display="https://county-taxes.net/broward/property-tax/YnJvd2FyZDpyZWFsX2VzdGF0ZTpwYXJlbnRzOjAxMDNkNzlhLWU1MGEtMTFlYi1iYTM4LTAwNTA1NjgxOTMzNA=="/>
    <hyperlink ref="R71" r:id="rId58" display="https://county-taxes.net/indianriver/property-tax/aW5kaWFucml2ZXI6cmVhbF9lc3RhdGU6cGFyZW50czpmNDJjMWJhOC1lNTA5LTExZWItOTQ2Ny0wMDUwNTY4MTg3MTA="/>
    <hyperlink ref="R72" r:id="rId59" display="https://county-taxes.net/fl-flagler/property-tax/ZmxhZ2xlcjpyZWFsX2VzdGF0ZTpwYXJlbnRzOmY0MDMyY2JlLWU1MDktMTFlYi05NDY3LTAwNTA1NjgxODcxMA=="/>
    <hyperlink ref="R73" r:id="rId60" display="https://broward.county-taxes.com/public/search/property_tax?action_location=Landing+Page"/>
    <hyperlink ref="R74" r:id="rId61" display="https://miamidade.county-taxes.com/public"/>
    <hyperlink ref="R77" r:id="rId62" display="https://miamidade.county-taxes.com/public"/>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63"/>
  <legacyDrawing r:id="rId6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2026-06-18T16:38:17Z</dcterms:created>
  <dc:creator>Nick Pribuss</dc:creator>
  <dc:description/>
  <dc:language>en-US</dc:language>
  <cp:lastModifiedBy>Nick Pribuss</cp:lastModifiedBy>
  <dcterms:modified xsi:type="dcterms:W3CDTF">2026-06-22T22:32:21Z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