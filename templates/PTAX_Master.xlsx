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ME" sheetId="1" state="visible" r:id="rId1"/>
    <sheet name="Property Tax" sheetId="2" state="visible" r:id="rId2"/>
  </sheets>
  <definedNames>
    <definedName name="_xlnm._FilterDatabase" localSheetId="1" hidden="1">'Property Tax'!$A$3:$R$83</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m/d/yyyy"/>
    <numFmt numFmtId="165" formatCode="\$#,##0;&quot;($&quot;#,##0\);\-"/>
    <numFmt numFmtId="166" formatCode="yyyy\-mm\-dd"/>
    <numFmt numFmtId="167" formatCode="0.0%;\-0.0%;\-"/>
    <numFmt numFmtId="168" formatCode="0.0%"/>
    <numFmt numFmtId="169" formatCode="\$#,##0"/>
  </numFmts>
  <fonts count="13">
    <font>
      <name val="Aptos Narrow"/>
      <charset val="1"/>
      <family val="2"/>
      <color theme="1"/>
      <sz val="11"/>
    </font>
    <font>
      <name val="Arial"/>
      <family val="0"/>
      <sz val="10"/>
    </font>
    <font>
      <name val="Arial"/>
      <family val="0"/>
      <sz val="10"/>
    </font>
    <font>
      <name val="Arial"/>
      <family val="0"/>
      <sz val="10"/>
    </font>
    <font>
      <name val="Aptos Narrow"/>
      <charset val="1"/>
      <family val="0"/>
      <b val="1"/>
      <sz val="16"/>
    </font>
    <font>
      <name val="Aptos Narrow"/>
      <charset val="1"/>
      <family val="0"/>
      <b val="1"/>
      <sz val="11"/>
    </font>
    <font>
      <name val="Aptos Narrow"/>
      <charset val="1"/>
      <family val="0"/>
      <sz val="11"/>
    </font>
    <font>
      <name val="Aptos Narrow"/>
      <charset val="1"/>
      <family val="0"/>
      <b val="1"/>
      <sz val="12"/>
    </font>
    <font>
      <name val="Aptos Narrow"/>
      <charset val="1"/>
      <family val="2"/>
      <b val="1"/>
      <color theme="1"/>
      <sz val="11"/>
    </font>
    <font>
      <name val="Aptos Narrow"/>
      <charset val="1"/>
      <family val="0"/>
      <b val="1"/>
      <color rgb="FFFFFFFF"/>
      <sz val="11"/>
    </font>
    <font>
      <name val="Aptos Narrow"/>
      <charset val="1"/>
      <family val="2"/>
      <color theme="10"/>
      <sz val="11"/>
      <u val="single"/>
    </font>
    <font>
      <name val="Aptos Narrow"/>
      <charset val="1"/>
      <family val="2"/>
      <sz val="11"/>
    </font>
    <font>
      <name val="Arial"/>
      <family val="2"/>
      <sz val="10"/>
    </font>
  </fonts>
  <fills count="7">
    <fill>
      <patternFill/>
    </fill>
    <fill>
      <patternFill patternType="gray125"/>
    </fill>
    <fill>
      <patternFill patternType="solid">
        <fgColor theme="0"/>
        <bgColor rgb="FFFFF8DC"/>
      </patternFill>
    </fill>
    <fill>
      <patternFill patternType="solid">
        <fgColor rgb="FF16384F"/>
        <bgColor rgb="FF333333"/>
      </patternFill>
    </fill>
    <fill>
      <patternFill patternType="solid">
        <fgColor theme="0" tint="-0.15"/>
        <bgColor rgb="FFC0C0C0"/>
      </patternFill>
    </fill>
    <fill>
      <patternFill patternType="solid">
        <fgColor rgb="FFFFF8DC"/>
        <bgColor rgb="FFFFFFFF"/>
      </patternFill>
    </fill>
    <fill>
      <patternFill patternType="solid">
        <fgColor rgb="FFFFF8DC"/>
      </patternFill>
    </fill>
  </fills>
  <borders count="13">
    <border>
      <left/>
      <right/>
      <top/>
      <bottom/>
      <diagonal/>
    </border>
    <border>
      <left style="thin"/>
      <right/>
      <top/>
      <bottom/>
      <diagonal/>
    </border>
    <border>
      <left/>
      <right style="thin"/>
      <top/>
      <bottom/>
      <diagonal/>
    </border>
    <border>
      <left style="thin"/>
      <right/>
      <top style="thin"/>
      <bottom/>
      <diagonal/>
    </border>
    <border>
      <left/>
      <right/>
      <top style="thin"/>
      <bottom/>
      <diagonal/>
    </border>
    <border>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style="thin"/>
      <diagonal/>
    </border>
    <border>
      <left/>
      <right/>
      <top/>
      <bottom style="thin"/>
      <diagonal/>
    </border>
    <border>
      <left/>
      <right style="thin"/>
      <top/>
      <bottom style="thin"/>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0" fillId="0" borderId="0" applyAlignment="1">
      <alignment horizontal="general" vertical="bottom"/>
    </xf>
    <xf numFmtId="0" fontId="10" fillId="0" borderId="0" applyAlignment="1">
      <alignment horizontal="general" vertical="bottom"/>
    </xf>
  </cellStyleXfs>
  <cellXfs count="11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0" fillId="2" borderId="0" applyAlignment="1" pivotButton="0" quotePrefix="0" xfId="0">
      <alignment horizontal="left" vertical="bottom"/>
    </xf>
    <xf numFmtId="0" fontId="0" fillId="2" borderId="0" applyAlignment="1" pivotButton="0" quotePrefix="0" xfId="0">
      <alignment horizontal="center" vertical="bottom"/>
    </xf>
    <xf numFmtId="164" fontId="0" fillId="2" borderId="1" applyAlignment="1" pivotButton="0" quotePrefix="0" xfId="0">
      <alignment horizontal="center" vertical="bottom"/>
    </xf>
    <xf numFmtId="164" fontId="0" fillId="2" borderId="0" applyAlignment="1" pivotButton="0" quotePrefix="0" xfId="0">
      <alignment horizontal="center" vertical="bottom"/>
    </xf>
    <xf numFmtId="164" fontId="0" fillId="2" borderId="2" applyAlignment="1" pivotButton="0" quotePrefix="0" xfId="0">
      <alignment horizontal="center" vertical="bottom"/>
    </xf>
    <xf numFmtId="0" fontId="0" fillId="2" borderId="0" applyAlignment="1" pivotButton="0" quotePrefix="0" xfId="0">
      <alignment horizontal="general" vertical="bottom"/>
    </xf>
    <xf numFmtId="164" fontId="0" fillId="2" borderId="0" applyAlignment="1" pivotButton="0" quotePrefix="0" xfId="0">
      <alignment horizontal="left" vertical="bottom"/>
    </xf>
    <xf numFmtId="164" fontId="0" fillId="2" borderId="3" applyAlignment="1" pivotButton="0" quotePrefix="0" xfId="0">
      <alignment horizontal="center" vertical="bottom"/>
    </xf>
    <xf numFmtId="164" fontId="0" fillId="2" borderId="4" applyAlignment="1" pivotButton="0" quotePrefix="0" xfId="0">
      <alignment horizontal="center" vertical="bottom"/>
    </xf>
    <xf numFmtId="164" fontId="0" fillId="2" borderId="5" applyAlignment="1" pivotButton="0" quotePrefix="0" xfId="0">
      <alignment horizontal="center" vertical="bottom"/>
    </xf>
    <xf numFmtId="0" fontId="8" fillId="2" borderId="6" applyAlignment="1" pivotButton="0" quotePrefix="0" xfId="0">
      <alignment horizontal="center" vertical="bottom"/>
    </xf>
    <xf numFmtId="0" fontId="8" fillId="2" borderId="7" applyAlignment="1" pivotButton="0" quotePrefix="0" xfId="0">
      <alignment horizontal="general" vertical="bottom"/>
    </xf>
    <xf numFmtId="0" fontId="8" fillId="2" borderId="8" applyAlignment="1" pivotButton="0" quotePrefix="0" xfId="0">
      <alignment horizontal="general" vertical="bottom"/>
    </xf>
    <xf numFmtId="0" fontId="8" fillId="2" borderId="9" applyAlignment="1" pivotButton="0" quotePrefix="0" xfId="0">
      <alignment horizontal="general" vertical="bottom"/>
    </xf>
    <xf numFmtId="0" fontId="9" fillId="3" borderId="0" applyAlignment="1" pivotButton="0" quotePrefix="0" xfId="0">
      <alignment horizontal="center" vertical="center"/>
    </xf>
    <xf numFmtId="0" fontId="8" fillId="4" borderId="7" applyAlignment="1" pivotButton="0" quotePrefix="0" xfId="0">
      <alignment horizontal="center" vertical="bottom"/>
    </xf>
    <xf numFmtId="0" fontId="8" fillId="4" borderId="8" applyAlignment="1" pivotButton="0" quotePrefix="0" xfId="0">
      <alignment horizontal="center" vertical="bottom"/>
    </xf>
    <xf numFmtId="0" fontId="8" fillId="4" borderId="9" applyAlignment="1" pivotButton="0" quotePrefix="0" xfId="0">
      <alignment horizontal="center" vertical="bottom"/>
    </xf>
    <xf numFmtId="0" fontId="8" fillId="4" borderId="3" applyAlignment="1" pivotButton="0" quotePrefix="0" xfId="0">
      <alignment horizontal="center" vertical="center"/>
    </xf>
    <xf numFmtId="0" fontId="8" fillId="4" borderId="4" applyAlignment="1" pivotButton="0" quotePrefix="0" xfId="0">
      <alignment horizontal="center" vertical="center"/>
    </xf>
    <xf numFmtId="164" fontId="8" fillId="4" borderId="3" applyAlignment="1" pivotButton="0" quotePrefix="0" xfId="0">
      <alignment horizontal="center" vertical="center"/>
    </xf>
    <xf numFmtId="164" fontId="8" fillId="4" borderId="4" applyAlignment="1" pivotButton="0" quotePrefix="0" xfId="0">
      <alignment horizontal="center" vertical="center"/>
    </xf>
    <xf numFmtId="164" fontId="8" fillId="4" borderId="5" applyAlignment="1" pivotButton="0" quotePrefix="0" xfId="0">
      <alignment horizontal="center" vertical="center"/>
    </xf>
    <xf numFmtId="0" fontId="5" fillId="0" borderId="0" applyAlignment="1" pivotButton="0" quotePrefix="0" xfId="0">
      <alignment horizontal="center" vertical="center"/>
    </xf>
    <xf numFmtId="0" fontId="0" fillId="2" borderId="1" applyAlignment="1" pivotButton="0" quotePrefix="0" xfId="0">
      <alignment horizontal="left" vertical="bottom"/>
    </xf>
    <xf numFmtId="0" fontId="0" fillId="2" borderId="2" applyAlignment="1" pivotButton="0" quotePrefix="0" xfId="0">
      <alignment horizontal="center" vertical="bottom"/>
    </xf>
    <xf numFmtId="0" fontId="0" fillId="2" borderId="1" applyAlignment="1" pivotButton="0" quotePrefix="0" xfId="0">
      <alignment horizontal="center" vertical="bottom"/>
    </xf>
    <xf numFmtId="0" fontId="0" fillId="2" borderId="3" applyAlignment="1" pivotButton="0" quotePrefix="0" xfId="0">
      <alignment horizontal="center" vertical="bottom"/>
    </xf>
    <xf numFmtId="0" fontId="0" fillId="2" borderId="4" applyAlignment="1" pivotButton="0" quotePrefix="0" xfId="0">
      <alignment horizontal="center" vertical="bottom"/>
    </xf>
    <xf numFmtId="0" fontId="10" fillId="2" borderId="4" applyAlignment="1" pivotButton="0" quotePrefix="0" xfId="20">
      <alignment horizontal="center" vertical="bottom"/>
    </xf>
    <xf numFmtId="165" fontId="6" fillId="5" borderId="0" applyAlignment="1" pivotButton="0" quotePrefix="0" xfId="0">
      <alignment horizontal="general" vertical="bottom"/>
    </xf>
    <xf numFmtId="166" fontId="6" fillId="5" borderId="0" applyAlignment="1" pivotButton="0" quotePrefix="0" xfId="0">
      <alignment horizontal="general" vertical="bottom"/>
    </xf>
    <xf numFmtId="0" fontId="6" fillId="0" borderId="0" applyAlignment="1" pivotButton="0" quotePrefix="0" xfId="0">
      <alignment horizontal="general" vertical="bottom"/>
    </xf>
    <xf numFmtId="165" fontId="6" fillId="0" borderId="0" applyAlignment="1" pivotButton="0" quotePrefix="0" xfId="0">
      <alignment horizontal="general" vertical="bottom"/>
    </xf>
    <xf numFmtId="167" fontId="6" fillId="0" borderId="0" applyAlignment="1" pivotButton="0" quotePrefix="0" xfId="0">
      <alignment horizontal="general" vertical="bottom"/>
    </xf>
    <xf numFmtId="0" fontId="6" fillId="0" borderId="0" applyAlignment="1" pivotButton="0" quotePrefix="0" xfId="0">
      <alignment horizontal="center" vertical="center"/>
    </xf>
    <xf numFmtId="0" fontId="10" fillId="2" borderId="0" applyAlignment="1" pivotButton="0" quotePrefix="0" xfId="20">
      <alignment horizontal="center" vertical="bottom"/>
    </xf>
    <xf numFmtId="164" fontId="11" fillId="2" borderId="0" applyAlignment="1" pivotButton="0" quotePrefix="0" xfId="0">
      <alignment horizontal="center" vertical="bottom"/>
    </xf>
    <xf numFmtId="0" fontId="6" fillId="5" borderId="0" applyAlignment="1" pivotButton="0" quotePrefix="0" xfId="0">
      <alignment horizontal="general" vertical="bottom"/>
    </xf>
    <xf numFmtId="49" fontId="0" fillId="2" borderId="1" applyAlignment="1" pivotButton="0" quotePrefix="0" xfId="0">
      <alignment horizontal="center" vertical="bottom"/>
    </xf>
    <xf numFmtId="0" fontId="0" fillId="0" borderId="1" applyAlignment="1" pivotButton="0" quotePrefix="0" xfId="0">
      <alignment horizontal="general" vertical="bottom"/>
    </xf>
    <xf numFmtId="0" fontId="0" fillId="0" borderId="0" applyAlignment="1" pivotButton="0" quotePrefix="0" xfId="0">
      <alignment horizontal="center" vertical="bottom"/>
    </xf>
    <xf numFmtId="168" fontId="6" fillId="5" borderId="0" applyAlignment="1" pivotButton="0" quotePrefix="0" xfId="19">
      <alignment horizontal="general" vertical="bottom"/>
    </xf>
    <xf numFmtId="0" fontId="0" fillId="2" borderId="10" applyAlignment="1" pivotButton="0" quotePrefix="0" xfId="0">
      <alignment horizontal="left" vertical="bottom"/>
    </xf>
    <xf numFmtId="0" fontId="0" fillId="2" borderId="11" applyAlignment="1" pivotButton="0" quotePrefix="0" xfId="0">
      <alignment horizontal="center" vertical="bottom"/>
    </xf>
    <xf numFmtId="0" fontId="0" fillId="2" borderId="12" applyAlignment="1" pivotButton="0" quotePrefix="0" xfId="0">
      <alignment horizontal="center" vertical="bottom"/>
    </xf>
    <xf numFmtId="0" fontId="0" fillId="2" borderId="10" applyAlignment="1" pivotButton="0" quotePrefix="0" xfId="0">
      <alignment horizontal="center" vertical="bottom"/>
    </xf>
    <xf numFmtId="164" fontId="0" fillId="2" borderId="10" applyAlignment="1" pivotButton="0" quotePrefix="0" xfId="0">
      <alignment horizontal="center" vertical="bottom"/>
    </xf>
    <xf numFmtId="164" fontId="0" fillId="2" borderId="11" applyAlignment="1" pivotButton="0" quotePrefix="0" xfId="0">
      <alignment horizontal="center" vertical="bottom"/>
    </xf>
    <xf numFmtId="164" fontId="0" fillId="2" borderId="12" applyAlignment="1" pivotButton="0" quotePrefix="0" xfId="0">
      <alignment horizontal="center" vertical="bottom"/>
    </xf>
    <xf numFmtId="169" fontId="0" fillId="2"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0" fillId="2" borderId="0" applyAlignment="1" pivotButton="0" quotePrefix="0" xfId="0">
      <alignment horizontal="left" vertical="bottom"/>
    </xf>
    <xf numFmtId="0" fontId="0" fillId="2" borderId="0" applyAlignment="1" pivotButton="0" quotePrefix="0" xfId="0">
      <alignment horizontal="center" vertical="bottom"/>
    </xf>
    <xf numFmtId="164" fontId="0" fillId="2" borderId="1" applyAlignment="1" pivotButton="0" quotePrefix="0" xfId="0">
      <alignment horizontal="center" vertical="bottom"/>
    </xf>
    <xf numFmtId="164" fontId="0" fillId="2" borderId="0" applyAlignment="1" pivotButton="0" quotePrefix="0" xfId="0">
      <alignment horizontal="center" vertical="bottom"/>
    </xf>
    <xf numFmtId="164" fontId="0" fillId="2" borderId="2" applyAlignment="1" pivotButton="0" quotePrefix="0" xfId="0">
      <alignment horizontal="center" vertical="bottom"/>
    </xf>
    <xf numFmtId="0" fontId="0" fillId="2" borderId="0" applyAlignment="1" pivotButton="0" quotePrefix="0" xfId="0">
      <alignment horizontal="general" vertical="bottom"/>
    </xf>
    <xf numFmtId="164" fontId="0" fillId="2" borderId="0" applyAlignment="1" pivotButton="0" quotePrefix="0" xfId="0">
      <alignment horizontal="left" vertical="bottom"/>
    </xf>
    <xf numFmtId="164" fontId="0" fillId="2" borderId="3" applyAlignment="1" pivotButton="0" quotePrefix="0" xfId="0">
      <alignment horizontal="center" vertical="bottom"/>
    </xf>
    <xf numFmtId="164" fontId="0" fillId="2" borderId="4" applyAlignment="1" pivotButton="0" quotePrefix="0" xfId="0">
      <alignment horizontal="center" vertical="bottom"/>
    </xf>
    <xf numFmtId="164" fontId="0" fillId="2" borderId="5" applyAlignment="1" pivotButton="0" quotePrefix="0" xfId="0">
      <alignment horizontal="center" vertical="bottom"/>
    </xf>
    <xf numFmtId="0" fontId="8" fillId="2" borderId="6" applyAlignment="1" pivotButton="0" quotePrefix="0" xfId="0">
      <alignment horizontal="center" vertical="bottom"/>
    </xf>
    <xf numFmtId="0" fontId="0" fillId="0" borderId="8" pivotButton="0" quotePrefix="0" xfId="0"/>
    <xf numFmtId="0" fontId="0" fillId="0" borderId="9" pivotButton="0" quotePrefix="0" xfId="0"/>
    <xf numFmtId="0" fontId="8" fillId="2" borderId="7" applyAlignment="1" pivotButton="0" quotePrefix="0" xfId="0">
      <alignment horizontal="general" vertical="bottom"/>
    </xf>
    <xf numFmtId="0" fontId="8" fillId="2" borderId="8" applyAlignment="1" pivotButton="0" quotePrefix="0" xfId="0">
      <alignment horizontal="general" vertical="bottom"/>
    </xf>
    <xf numFmtId="0" fontId="8" fillId="2" borderId="9" applyAlignment="1" pivotButton="0" quotePrefix="0" xfId="0">
      <alignment horizontal="general" vertical="bottom"/>
    </xf>
    <xf numFmtId="0" fontId="9" fillId="3" borderId="0" applyAlignment="1" pivotButton="0" quotePrefix="0" xfId="0">
      <alignment horizontal="center" vertical="center"/>
    </xf>
    <xf numFmtId="0" fontId="8" fillId="4" borderId="7" applyAlignment="1" pivotButton="0" quotePrefix="0" xfId="0">
      <alignment horizontal="center" vertical="bottom"/>
    </xf>
    <xf numFmtId="0" fontId="8" fillId="4" borderId="8" applyAlignment="1" pivotButton="0" quotePrefix="0" xfId="0">
      <alignment horizontal="center" vertical="bottom"/>
    </xf>
    <xf numFmtId="0" fontId="8" fillId="4" borderId="9" applyAlignment="1" pivotButton="0" quotePrefix="0" xfId="0">
      <alignment horizontal="center" vertical="bottom"/>
    </xf>
    <xf numFmtId="0" fontId="8" fillId="4" borderId="3" applyAlignment="1" pivotButton="0" quotePrefix="0" xfId="0">
      <alignment horizontal="center" vertical="center"/>
    </xf>
    <xf numFmtId="0" fontId="8" fillId="4" borderId="4" applyAlignment="1" pivotButton="0" quotePrefix="0" xfId="0">
      <alignment horizontal="center" vertical="center"/>
    </xf>
    <xf numFmtId="164" fontId="8" fillId="4" borderId="3" applyAlignment="1" pivotButton="0" quotePrefix="0" xfId="0">
      <alignment horizontal="center" vertical="center"/>
    </xf>
    <xf numFmtId="164" fontId="8" fillId="4" borderId="4" applyAlignment="1" pivotButton="0" quotePrefix="0" xfId="0">
      <alignment horizontal="center" vertical="center"/>
    </xf>
    <xf numFmtId="164" fontId="8" fillId="4" borderId="5" applyAlignment="1" pivotButton="0" quotePrefix="0" xfId="0">
      <alignment horizontal="center" vertical="center"/>
    </xf>
    <xf numFmtId="0" fontId="5" fillId="0" borderId="0" applyAlignment="1" pivotButton="0" quotePrefix="0" xfId="0">
      <alignment horizontal="center" vertical="center"/>
    </xf>
    <xf numFmtId="0" fontId="5" fillId="0" borderId="0" applyAlignment="1" pivotButton="0" quotePrefix="0" xfId="0">
      <alignment horizontal="center" vertical="center"/>
    </xf>
    <xf numFmtId="0" fontId="0" fillId="2" borderId="1" applyAlignment="1" pivotButton="0" quotePrefix="0" xfId="0">
      <alignment horizontal="left" vertical="bottom"/>
    </xf>
    <xf numFmtId="0" fontId="0" fillId="2" borderId="2" applyAlignment="1" pivotButton="0" quotePrefix="0" xfId="0">
      <alignment horizontal="center" vertical="bottom"/>
    </xf>
    <xf numFmtId="0" fontId="0" fillId="2" borderId="1" applyAlignment="1" pivotButton="0" quotePrefix="0" xfId="0">
      <alignment horizontal="center" vertical="bottom"/>
    </xf>
    <xf numFmtId="0" fontId="0" fillId="2" borderId="3" applyAlignment="1" pivotButton="0" quotePrefix="0" xfId="0">
      <alignment horizontal="center" vertical="bottom"/>
    </xf>
    <xf numFmtId="0" fontId="0" fillId="2" borderId="4" applyAlignment="1" pivotButton="0" quotePrefix="0" xfId="0">
      <alignment horizontal="center" vertical="bottom"/>
    </xf>
    <xf numFmtId="0" fontId="10" fillId="2" borderId="4" applyAlignment="1" pivotButton="0" quotePrefix="0" xfId="20">
      <alignment horizontal="center" vertical="bottom"/>
    </xf>
    <xf numFmtId="165" fontId="6" fillId="5" borderId="0" applyAlignment="1" pivotButton="0" quotePrefix="0" xfId="0">
      <alignment horizontal="general" vertical="bottom"/>
    </xf>
    <xf numFmtId="0" fontId="6" fillId="6" borderId="0" applyAlignment="1" pivotButton="0" quotePrefix="0" xfId="0">
      <alignment horizontal="general" vertical="bottom"/>
    </xf>
    <xf numFmtId="166" fontId="6" fillId="5" borderId="0" applyAlignment="1" pivotButton="0" quotePrefix="0" xfId="0">
      <alignment horizontal="general" vertical="bottom"/>
    </xf>
    <xf numFmtId="0" fontId="6" fillId="0" borderId="0" applyAlignment="1" pivotButton="0" quotePrefix="0" xfId="0">
      <alignment horizontal="general" vertical="bottom"/>
    </xf>
    <xf numFmtId="165" fontId="6" fillId="0" borderId="0" applyAlignment="1" pivotButton="0" quotePrefix="0" xfId="0">
      <alignment horizontal="general" vertical="bottom"/>
    </xf>
    <xf numFmtId="167" fontId="6" fillId="0" borderId="0" applyAlignment="1" pivotButton="0" quotePrefix="0" xfId="0">
      <alignment horizontal="general" vertical="bottom"/>
    </xf>
    <xf numFmtId="0" fontId="6" fillId="0" borderId="0" applyAlignment="1" pivotButton="0" quotePrefix="0" xfId="0">
      <alignment horizontal="center" vertical="center"/>
    </xf>
    <xf numFmtId="0" fontId="10" fillId="2" borderId="0" applyAlignment="1" pivotButton="0" quotePrefix="0" xfId="20">
      <alignment horizontal="center" vertical="bottom"/>
    </xf>
    <xf numFmtId="164" fontId="11" fillId="2" borderId="0" applyAlignment="1" pivotButton="0" quotePrefix="0" xfId="0">
      <alignment horizontal="center" vertical="bottom"/>
    </xf>
    <xf numFmtId="0" fontId="6" fillId="5" borderId="0" applyAlignment="1" pivotButton="0" quotePrefix="0" xfId="0">
      <alignment horizontal="general" vertical="bottom"/>
    </xf>
    <xf numFmtId="49" fontId="0" fillId="2" borderId="1" applyAlignment="1" pivotButton="0" quotePrefix="0" xfId="0">
      <alignment horizontal="center" vertical="bottom"/>
    </xf>
    <xf numFmtId="0" fontId="0" fillId="0" borderId="1" applyAlignment="1" pivotButton="0" quotePrefix="0" xfId="0">
      <alignment horizontal="general" vertical="bottom"/>
    </xf>
    <xf numFmtId="0" fontId="0" fillId="0" borderId="0" applyAlignment="1" pivotButton="0" quotePrefix="0" xfId="0">
      <alignment horizontal="center" vertical="bottom"/>
    </xf>
    <xf numFmtId="168" fontId="6" fillId="5" borderId="0" applyAlignment="1" pivotButton="0" quotePrefix="0" xfId="19">
      <alignment horizontal="general" vertical="bottom"/>
    </xf>
    <xf numFmtId="0" fontId="0" fillId="2" borderId="10" applyAlignment="1" pivotButton="0" quotePrefix="0" xfId="0">
      <alignment horizontal="left" vertical="bottom"/>
    </xf>
    <xf numFmtId="0" fontId="0" fillId="2" borderId="11" applyAlignment="1" pivotButton="0" quotePrefix="0" xfId="0">
      <alignment horizontal="center" vertical="bottom"/>
    </xf>
    <xf numFmtId="0" fontId="0" fillId="2" borderId="12" applyAlignment="1" pivotButton="0" quotePrefix="0" xfId="0">
      <alignment horizontal="center" vertical="bottom"/>
    </xf>
    <xf numFmtId="0" fontId="0" fillId="2" borderId="10" applyAlignment="1" pivotButton="0" quotePrefix="0" xfId="0">
      <alignment horizontal="center" vertical="bottom"/>
    </xf>
    <xf numFmtId="164" fontId="0" fillId="2" borderId="10" applyAlignment="1" pivotButton="0" quotePrefix="0" xfId="0">
      <alignment horizontal="center" vertical="bottom"/>
    </xf>
    <xf numFmtId="164" fontId="0" fillId="2" borderId="11" applyAlignment="1" pivotButton="0" quotePrefix="0" xfId="0">
      <alignment horizontal="center" vertical="bottom"/>
    </xf>
    <xf numFmtId="164" fontId="0" fillId="2" borderId="12" applyAlignment="1" pivotButton="0" quotePrefix="0" xfId="0">
      <alignment horizontal="center" vertical="bottom"/>
    </xf>
    <xf numFmtId="169" fontId="0" fillId="2" borderId="0" applyAlignment="1" pivotButton="0" quotePrefix="0" xfId="0">
      <alignment horizontal="center" vertical="bottom"/>
    </xf>
  </cellXfs>
  <cellStyles count="7">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s>
  <dxfs count="11">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bgColor rgb="FF000000"/>
        </patternFill>
      </fill>
    </dxf>
    <dxf>
      <fill>
        <patternFill patternType="solid">
          <fgColor rgb="FF467886"/>
          <bgColor rgb="FF000000"/>
        </patternFill>
      </fill>
    </dxf>
    <dxf>
      <fill>
        <patternFill>
          <bgColor theme="0" tint="-0.15"/>
        </patternFill>
      </fill>
    </dxf>
    <dxf>
      <font>
        <name val="Aptos Narrow"/>
        <charset val="1"/>
        <family val="2"/>
        <color rgb="FF000000"/>
        <sz val="11"/>
      </font>
      <alignment horizontal="general" vertical="bottom"/>
    </dxf>
    <dxf>
      <font>
        <name val="Aptos Narrow"/>
        <charset val="1"/>
        <family val="0"/>
        <b val="1"/>
        <color rgb="FFFFFFFF"/>
        <sz val="11"/>
      </font>
      <fill>
        <patternFill>
          <bgColor rgb="FFDC2626"/>
        </patternFill>
      </fill>
    </dxf>
    <dxf>
      <font>
        <name val="Aptos Narrow"/>
        <charset val="1"/>
        <family val="0"/>
        <b val="1"/>
        <color rgb="FFFFFFFF"/>
        <sz val="11"/>
      </font>
      <fill>
        <patternFill>
          <bgColor rgb="FFB45309"/>
        </patternFill>
      </fill>
    </dxf>
    <dxf>
      <font>
        <name val="Aptos Narrow"/>
        <charset val="1"/>
        <family val="0"/>
        <b val="1"/>
        <color rgb="FFFFFFFF"/>
        <sz val="11"/>
      </font>
      <fill>
        <patternFill>
          <bgColor rgb="FFF5C518"/>
        </patternFill>
      </fill>
    </dxf>
    <dxf>
      <font>
        <name val="Aptos Narrow"/>
        <charset val="1"/>
        <family val="0"/>
        <b val="1"/>
        <color rgb="FFFFFFFF"/>
        <sz val="11"/>
      </font>
      <fill>
        <patternFill>
          <bgColor rgb="FF15803D"/>
        </patternFill>
      </fill>
    </dxf>
  </dxfs>
  <colors>
    <indexedColors>
      <rgbColor rgb="FF000000"/>
      <rgbColor rgb="FFFFFFFF"/>
      <rgbColor rgb="FFDC2626"/>
      <rgbColor rgb="FF00FF00"/>
      <rgbColor rgb="FF0000FF"/>
      <rgbColor rgb="FFFFFF00"/>
      <rgbColor rgb="FFFF00FF"/>
      <rgbColor rgb="FF00FFFF"/>
      <rgbColor rgb="FF800000"/>
      <rgbColor rgb="FF15803D"/>
      <rgbColor rgb="FF000080"/>
      <rgbColor rgb="FF808000"/>
      <rgbColor rgb="FF800080"/>
      <rgbColor rgb="FF008080"/>
      <rgbColor rgb="FFC0C0C0"/>
      <rgbColor rgb="FF808080"/>
      <rgbColor rgb="FF9999FF"/>
      <rgbColor rgb="FF993366"/>
      <rgbColor rgb="FFFFF8D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5C518"/>
      <rgbColor rgb="FFFF9900"/>
      <rgbColor rgb="FFFF6600"/>
      <rgbColor rgb="FF467886"/>
      <rgbColor rgb="FF969696"/>
      <rgbColor rgb="FF16384F"/>
      <rgbColor rgb="FF339966"/>
      <rgbColor rgb="FF003300"/>
      <rgbColor rgb="FF333300"/>
      <rgbColor rgb="FFB45309"/>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Unknown Author</author>
  </authors>
  <commentList>
    <comment ref="AK3" authorId="0" shapeId="0">
      <text>
        <t>Variance % thresholds (placeholders — confirm with Michael):
  &gt;=15%  STRONG (file with high priority)
  &gt;=10%  FILE (worth filing)
  &gt;=7%   INVESTIGATE (worth a closer look)
  &lt;7%    PASS (don't appeal)
Variance = (Actual assessment - BOV median mid) / BOV median mid.
Negative variance means county is under-assessing — don't appeal.</t>
      </text>
    </comment>
    <comment ref="J22" authorId="0" shapeId="0">
      <text>
        <t>Matt Kopsky:
county</t>
      </text>
    </comment>
    <comment ref="K22" authorId="0" shapeId="0">
      <text>
        <t>Matt Kopsky:
school</t>
      </text>
    </comment>
    <comment ref="G37" authorId="0" shapeId="0">
      <text>
        <t>Matt Kopsky:
three taxing authorities: City of Bowling Green, Warren County and School</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county-taxes.net/fl-clay/property-tax/Y2xheTpyZWFsX2VzdGF0ZTpwYXJlbnRzOjM2OTQwMzc0LTM0N2MtMTFlZC05NzQ1LThlM2ZlZjFhN2Q3MQ==" TargetMode="External" Id="rId1" /><Relationship Type="http://schemas.openxmlformats.org/officeDocument/2006/relationships/hyperlink" Target="https://county-taxes.net/fl-clay/fl-clay/property-tax/Y2xheTpyZWFsX2VzdGF0ZTpwYXJlbnRzOjUwMWFhMGI0LTM0N2MtMTFlZC1hZmNhLTMzN2E4MWM5MGY1MA==" TargetMode="External" Id="rId2" /><Relationship Type="http://schemas.openxmlformats.org/officeDocument/2006/relationships/hyperlink" Target="https://ptaxweb.putnamtax.com/ptaxweb/editPropertySearch2.action" TargetMode="External" Id="rId3" /><Relationship Type="http://schemas.openxmlformats.org/officeDocument/2006/relationships/hyperlink" Target="https://www.stjohnstax.us/PropertyDetail?p=173800-0030&amp;y=2024&amp;b=127955.0000" TargetMode="External" Id="rId4" /><Relationship Type="http://schemas.openxmlformats.org/officeDocument/2006/relationships/hyperlink" Target="https://pbctax.publicaccessnow.com/PropertyTax/Account/BillDetail.aspx?p=74-43-43-21-01-043-0050&amp;t=Real%20Property&amp;a=1418360&amp;b=26795046&amp;y=2024&amp;n=101606030" TargetMode="External" Id="rId5" /><Relationship Type="http://schemas.openxmlformats.org/officeDocument/2006/relationships/hyperlink" Target="https://pinellastaxcollector.gov/property-tax/" TargetMode="External" Id="rId6" /><Relationship Type="http://schemas.openxmlformats.org/officeDocument/2006/relationships/hyperlink" Target="http://www.broward.org/" TargetMode="External" Id="rId7" /><Relationship Type="http://schemas.openxmlformats.org/officeDocument/2006/relationships/hyperlink" Target="https://county-taxes.net/fl-collier/property-tax/Y29sbGllcjpyZWFsX2VzdGF0ZTpwYXJlbnRzOmQ0MzUyMmQ5LWU1MDgtMTFlYi1hODBmLTAwNTA1NjgxYTJiNw==" TargetMode="External" Id="rId8" /><Relationship Type="http://schemas.openxmlformats.org/officeDocument/2006/relationships/hyperlink" Target="https://www.pbctax.com/real-estate-property-tax/" TargetMode="External" Id="rId9" /><Relationship Type="http://schemas.openxmlformats.org/officeDocument/2006/relationships/hyperlink" Target="https://common2.mptsweb.com/MBC/lake/tax/main/026301280000/2024/0000" TargetMode="External" Id="rId10" /><Relationship Type="http://schemas.openxmlformats.org/officeDocument/2006/relationships/hyperlink" Target="https://parcelinquirytreasurer.cochise.az.gov/Parcel/PaymentHistory?parcelNumber=40909081D0&amp;taxYear=2024" TargetMode="External" Id="rId11" /><Relationship Type="http://schemas.openxmlformats.org/officeDocument/2006/relationships/hyperlink" Target="http://www.to.pima.gov/" TargetMode="External" Id="rId12" /><Relationship Type="http://schemas.openxmlformats.org/officeDocument/2006/relationships/hyperlink" Target="https://www.bernco.gov/treasurer/paying-your-property-taxes-overview/" TargetMode="External" Id="rId13" /><Relationship Type="http://schemas.openxmlformats.org/officeDocument/2006/relationships/hyperlink" Target="https://www.hennepin.us/propertytaxpayments/" TargetMode="External" Id="rId14" /><Relationship Type="http://schemas.openxmlformats.org/officeDocument/2006/relationships/hyperlink" Target="https://tax.egov.basgov.com/riverhead/TaxBill/BillDetailsPaymentOptions?TaxBillID=93938c45-39ac-ef11-9968-509a4c486007" TargetMode="External" Id="rId15" /><Relationship Type="http://schemas.openxmlformats.org/officeDocument/2006/relationships/hyperlink" Target="https://tax.egov.basgov.com/riverhead/TaxBill/BillDetailsPaymentOptions?TaxBillID=93938c45-39ac-ef11-9968-509a4c486007" TargetMode="External" Id="rId16" /><Relationship Type="http://schemas.openxmlformats.org/officeDocument/2006/relationships/hyperlink" Target="https://chesterfield.virginiainteractive.org/Treasurer/Main" TargetMode="External" Id="rId17" /><Relationship Type="http://schemas.openxmlformats.org/officeDocument/2006/relationships/hyperlink" Target="https://pay.vbepay.com/Citizen/ViewAccount/364817" TargetMode="External" Id="rId18" /><Relationship Type="http://schemas.openxmlformats.org/officeDocument/2006/relationships/hyperlink" Target="https://publicaccess.dekalbtax.org/Datalets/Datalet.aspx?sIndex=2&amp;idx=1" TargetMode="External" Id="rId19" /><Relationship Type="http://schemas.openxmlformats.org/officeDocument/2006/relationships/hyperlink" Target="https://muscogeecountyga.governmentwindow.com/select_bill.html?search_mode=search2&amp;tax_year=2018&amp;name=&amp;map_code=085+008+002&amp;address=" TargetMode="External" Id="rId20" /><Relationship Type="http://schemas.openxmlformats.org/officeDocument/2006/relationships/hyperlink" Target="https://www.fultoncountytaxes.org/propertytax/summary/17%20000600030484" TargetMode="External" Id="rId21" /><Relationship Type="http://schemas.openxmlformats.org/officeDocument/2006/relationships/hyperlink" Target="https://wipp.edmundsassoc.com/Wipp/?wippid=0417" TargetMode="External" Id="rId22" /><Relationship Type="http://schemas.openxmlformats.org/officeDocument/2006/relationships/hyperlink" Target="http://www.solanocounty.com/" TargetMode="External" Id="rId23" /><Relationship Type="http://schemas.openxmlformats.org/officeDocument/2006/relationships/hyperlink" Target="http://www.solanocounty.com/" TargetMode="External" Id="rId24" /><Relationship Type="http://schemas.openxmlformats.org/officeDocument/2006/relationships/hyperlink" Target="http://www.solanocounty.com/" TargetMode="External" Id="rId25" /><Relationship Type="http://schemas.openxmlformats.org/officeDocument/2006/relationships/hyperlink" Target="https://common3.mptsweb.com/MBC/eldorado/tax/main/327130040000/2024/0000" TargetMode="External" Id="rId26" /><Relationship Type="http://schemas.openxmlformats.org/officeDocument/2006/relationships/hyperlink" Target="https://common3.mptsweb.com/MBC/placer/tax/main/048520006000/2024/0000" TargetMode="External" Id="rId27" /><Relationship Type="http://schemas.openxmlformats.org/officeDocument/2006/relationships/hyperlink" Target="https://common3.mptsweb.com/MBC/tuolumne/tax/main/001201010000/2024/0000" TargetMode="External" Id="rId28" /><Relationship Type="http://schemas.openxmlformats.org/officeDocument/2006/relationships/hyperlink" Target="http://www.rpso.org/" TargetMode="External" Id="rId29" /><Relationship Type="http://schemas.openxmlformats.org/officeDocument/2006/relationships/hyperlink" Target="https://snstaxpayments.com/ebr" TargetMode="External" Id="rId30" /><Relationship Type="http://schemas.openxmlformats.org/officeDocument/2006/relationships/hyperlink" Target="https://snstaxpayments.com/calcasieu" TargetMode="External" Id="rId31" /><Relationship Type="http://schemas.openxmlformats.org/officeDocument/2006/relationships/hyperlink" Target="https://snstaxpayments.com/stlandry" TargetMode="External" Id="rId32" /><Relationship Type="http://schemas.openxmlformats.org/officeDocument/2006/relationships/hyperlink" Target="https://www.bgky.org/property-tax-search/invoices/156635" TargetMode="External" Id="rId33" /><Relationship Type="http://schemas.openxmlformats.org/officeDocument/2006/relationships/hyperlink" Target="https://www.bgky.org/property-tax-search/invoices/156635" TargetMode="External" Id="rId34" /><Relationship Type="http://schemas.openxmlformats.org/officeDocument/2006/relationships/hyperlink" Target="https://services.wake.gov/ptax/main/billing/acctsummary.aspx?search=acct&amp;yrs=2&amp;id=229546" TargetMode="External" Id="rId35" /><Relationship Type="http://schemas.openxmlformats.org/officeDocument/2006/relationships/hyperlink" Target="https://bcpwa.ncptscloud.com/guilfordtax/BillDetails.aspx?BillPk=11242368" TargetMode="External" Id="rId36" /><Relationship Type="http://schemas.openxmlformats.org/officeDocument/2006/relationships/hyperlink" Target="http://www.co.cumberland.nc.us/tax/payments/" TargetMode="External" Id="rId37" /><Relationship Type="http://schemas.openxmlformats.org/officeDocument/2006/relationships/hyperlink" Target="https://secure.webtaxpay.com/?county=franklin&amp;state=NC" TargetMode="External" Id="rId38" /><Relationship Type="http://schemas.openxmlformats.org/officeDocument/2006/relationships/hyperlink" Target="http://taxweb.guilfordcountync.gov/PublicWebAccess/" TargetMode="External" Id="rId39" /><Relationship Type="http://schemas.openxmlformats.org/officeDocument/2006/relationships/hyperlink" Target="http://taxweb.guilfordcountync.gov/PublicWebAccess/" TargetMode="External" Id="rId40" /><Relationship Type="http://schemas.openxmlformats.org/officeDocument/2006/relationships/hyperlink" Target="http://www.forsyth.cc/tax/taxbill.aspx" TargetMode="External" Id="rId41" /><Relationship Type="http://schemas.openxmlformats.org/officeDocument/2006/relationships/hyperlink" Target="http://www.wakegov.com/tax/Pages/default.aspx" TargetMode="External" Id="rId42" /><Relationship Type="http://schemas.openxmlformats.org/officeDocument/2006/relationships/hyperlink" Target="https://nashcountync.gov/498/Tax-Payments" TargetMode="External" Id="rId43" /><Relationship Type="http://schemas.openxmlformats.org/officeDocument/2006/relationships/hyperlink" Target="http://www.forsyth.cc/tax/taxbill.aspx" TargetMode="External" Id="rId44" /><Relationship Type="http://schemas.openxmlformats.org/officeDocument/2006/relationships/hyperlink" Target="https://publicaccess.claytoncountyga.gov/search/CommonSearch.aspx?mode=REALPROP" TargetMode="External" Id="rId45" /><Relationship Type="http://schemas.openxmlformats.org/officeDocument/2006/relationships/hyperlink" Target="https://publicaccess.claytoncountyga.gov/search/CommonSearch.aspx?mode=REALPROP" TargetMode="External" Id="rId46" /><Relationship Type="http://schemas.openxmlformats.org/officeDocument/2006/relationships/hyperlink" Target="http://www.taylor-cad.org/" TargetMode="External" Id="rId47" /><Relationship Type="http://schemas.openxmlformats.org/officeDocument/2006/relationships/hyperlink" Target="http://iswdataclient.azurewebsites.net/webSearchID.aspx?dbkey=midlandcad" TargetMode="External" Id="rId48" /><Relationship Type="http://schemas.openxmlformats.org/officeDocument/2006/relationships/hyperlink" Target="https://ascent.co.manitowoc.wi.us/LandRecords/PropertyListing/RealEstateTaxParcel" TargetMode="External" Id="rId49" /><Relationship Type="http://schemas.openxmlformats.org/officeDocument/2006/relationships/hyperlink" Target="https://esearch.hctax.info/Property/View/23748?year=2024&amp;ownerId=1385747" TargetMode="External" Id="rId50" /><Relationship Type="http://schemas.openxmlformats.org/officeDocument/2006/relationships/hyperlink" Target="https://taxweb.dentoncounty.gov/Accounts/AccountDetails?taxAccountNumber=204320DEN" TargetMode="External" Id="rId51" /><Relationship Type="http://schemas.openxmlformats.org/officeDocument/2006/relationships/hyperlink" Target="https://county-taxes.net/hillsborough/hillsborough/property-tax/aGlsbHNib3JvdWdoOnJlYWxfZXN0YXRlOnBhcmVudHM6ZjYxM2RkNGQtZTUwOS0xMWViLWFmNmMtMDA1MDU2ODFiMmNm/bills/b3f75606-85a3-11ef-b227-00505681f4ed" TargetMode="External" Id="rId52" /><Relationship Type="http://schemas.openxmlformats.org/officeDocument/2006/relationships/hyperlink" Target="https://county-taxes.net/charlotte/property-tax/Y2hhcmxvdHRlOnJlYWxfZXN0YXRlOnBhcmVudHM6ZmRhZjExNTEtZTUwOS0xMWViLTk1NGItMDA1MDU2ODFjYmE3" TargetMode="External" Id="rId53" /><Relationship Type="http://schemas.openxmlformats.org/officeDocument/2006/relationships/hyperlink" Target="https://county-taxes.net/fl-pasco/property-tax/cGFzY286cmVhbF9lc3RhdGU6cGFyZW50czpiYTM1MjBmMS1lMzY4LTExZWItOGVkMi0wMDUwNTY4MWFmMWU=" TargetMode="External" Id="rId54" /><Relationship Type="http://schemas.openxmlformats.org/officeDocument/2006/relationships/hyperlink" Target="https://county-taxes.net/pinellas/property-tax/cGluZWxsYXM6cmVhbF9lc3RhdGU6cGFyZW50czpiYTYyMzFiZC1lMzY4LTExZWItOTRkMS0wMDUwNTY4MTUwMjg=" TargetMode="External" Id="rId55" /><Relationship Type="http://schemas.openxmlformats.org/officeDocument/2006/relationships/hyperlink" Target="https://county-taxes.net/broward/property-tax/YnJvd2FyZDpyZWFsX2VzdGF0ZTpwYXJlbnRzOjAxMDNkNzlhLWU1MGEtMTFlYi1iYTM4LTAwNTA1NjgxOTMzNA==" TargetMode="External" Id="rId56" /><Relationship Type="http://schemas.openxmlformats.org/officeDocument/2006/relationships/hyperlink" Target="https://county-taxes.net/indianriver/property-tax/aW5kaWFucml2ZXI6cmVhbF9lc3RhdGU6cGFyZW50czpmNDJjMWJhOC1lNTA5LTExZWItOTQ2Ny0wMDUwNTY4MTg3MTA=" TargetMode="External" Id="rId57" /><Relationship Type="http://schemas.openxmlformats.org/officeDocument/2006/relationships/hyperlink" Target="https://county-taxes.net/fl-flagler/property-tax/ZmxhZ2xlcjpyZWFsX2VzdGF0ZTpwYXJlbnRzOmY0MDMyY2JlLWU1MDktMTFlYi05NDY3LTAwNTA1NjgxODcxMA==" TargetMode="External" Id="rId58" /><Relationship Type="http://schemas.openxmlformats.org/officeDocument/2006/relationships/hyperlink" Target="https://broward.county-taxes.com/public/search/property_tax?action_location=Landing+Page" TargetMode="External" Id="rId59" /><Relationship Type="http://schemas.openxmlformats.org/officeDocument/2006/relationships/hyperlink" Target="https://miamidade.county-taxes.com/public" TargetMode="External" Id="rId60" /><Relationship Type="http://schemas.openxmlformats.org/officeDocument/2006/relationships/hyperlink" Target="https://miamidade.county-taxes.com/public" TargetMode="External" Id="rId6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56" min="1" max="1"/>
    <col width="90" customWidth="1" style="56" min="2" max="2"/>
  </cols>
  <sheetData>
    <row r="1" ht="19.7" customHeight="1" s="57">
      <c r="A1" s="58" t="inlineStr">
        <is>
          <t>Pontus Property Tax — Master Template</t>
        </is>
      </c>
    </row>
    <row r="2" ht="31.5" customHeight="1" s="57">
      <c r="A2" s="59" t="n"/>
      <c r="B2" s="60" t="n"/>
    </row>
    <row r="3" ht="15" customHeight="1" s="57">
      <c r="A3" s="61" t="inlineStr">
        <is>
          <t>How to read this template</t>
        </is>
      </c>
    </row>
    <row r="4" ht="31.5" customHeight="1" s="57">
      <c r="A4" s="59" t="n"/>
      <c r="B4" s="60" t="inlineStr">
        <is>
          <t>Columns A–R are the original tracker (analyst-maintained). Columns S–V (cream background) are filled BY THE CHECKER on every run. Columns W–AG (Jurisdiction Links, BOV, Actual assessment) are filled BY ANALYSTS over time. Columns AH–AJ are computed by Excel formulas — don't edit them.</t>
        </is>
      </c>
    </row>
    <row r="5" ht="31.5" customHeight="1" s="57">
      <c r="A5" s="59" t="n"/>
      <c r="B5" s="60" t="n"/>
    </row>
    <row r="6" ht="15" customHeight="1" s="57">
      <c r="A6" s="61" t="inlineStr">
        <is>
          <t>Payment Status — written by the checker (S–V)</t>
        </is>
      </c>
    </row>
    <row r="7" ht="31.5" customHeight="1" s="57">
      <c r="A7" s="59" t="inlineStr">
        <is>
          <t>Ultimate payment due (S)</t>
        </is>
      </c>
      <c r="B7" s="60" t="inlineStr">
        <is>
          <t>Final amount currently owed after discounts and any accrued penalties/interest. Blank when paid. NOT the gross billed amount.</t>
        </is>
      </c>
    </row>
    <row r="8" ht="31.5" customHeight="1" s="57">
      <c r="A8" s="59" t="inlineStr">
        <is>
          <t>Payment date (T)</t>
        </is>
      </c>
      <c r="B8" s="60" t="inlineStr">
        <is>
          <t>Date the payment was posted at the county. Real Excel date.</t>
        </is>
      </c>
    </row>
    <row r="9" ht="31.5" customHeight="1" s="57">
      <c r="A9" s="59" t="inlineStr">
        <is>
          <t>Payment amount (U)</t>
        </is>
      </c>
      <c r="B9" s="60" t="inlineStr">
        <is>
          <t>What was actually paid. Often less than the gross bill because of early-payment discounts (FL: 4% Nov, 3% Dec, 2% Jan, 1% Feb).</t>
        </is>
      </c>
    </row>
    <row r="10" ht="31.5" customHeight="1" s="57">
      <c r="A10" s="59" t="inlineStr">
        <is>
          <t>Next due date (V)</t>
        </is>
      </c>
      <c r="B10" s="60" t="inlineStr">
        <is>
          <t>Next upcoming installment deadline. For Florida-style annual bills this is next March 31; for California secured roll, the next of the two installment dates.</t>
        </is>
      </c>
    </row>
    <row r="11" ht="31.5" customHeight="1" s="57">
      <c r="A11" s="59" t="n"/>
      <c r="B11" s="60" t="n"/>
    </row>
    <row r="12" ht="15" customHeight="1" s="57">
      <c r="A12" s="61" t="inlineStr">
        <is>
          <t>Analyst-filled — Jurisdiction &amp; Stage 2 (W–AG)</t>
        </is>
      </c>
    </row>
    <row r="13" ht="31.5" customHeight="1" s="57">
      <c r="A13" s="59" t="inlineStr">
        <is>
          <t>Jurisdiction link primary (W)</t>
        </is>
      </c>
      <c r="B13" s="60" t="inlineStr">
        <is>
          <t>Primary authority URL (county). Defaulted to the existing Website column.</t>
        </is>
      </c>
    </row>
    <row r="14" ht="31.5" customHeight="1" s="57">
      <c r="A14" s="59" t="inlineStr">
        <is>
          <t>Jurisdiction link secondary (X)</t>
        </is>
      </c>
      <c r="B14" s="60" t="inlineStr">
        <is>
          <t>Secondary authority URL (city/municipality) — most rows blank.</t>
        </is>
      </c>
    </row>
    <row r="15" ht="31.5" customHeight="1" s="57">
      <c r="A15" s="59" t="inlineStr">
        <is>
          <t>Jurisdiction link tertiary (Y)</t>
        </is>
      </c>
      <c r="B15" s="60" t="inlineStr">
        <is>
          <t>Tertiary authority URL (special districts: fire, water mgmt, school). Most rows blank.</t>
        </is>
      </c>
    </row>
    <row r="16" ht="31.5" customHeight="1" s="57">
      <c r="A16" s="59" t="inlineStr">
        <is>
          <t>BOV source (Z)</t>
        </is>
      </c>
      <c r="B16" s="60" t="inlineStr">
        <is>
          <t>Broker name + rep + date the BOV was given. Audit trail for which broker's opinion is in the next 3 columns.</t>
        </is>
      </c>
    </row>
    <row r="17" ht="31.5" customHeight="1" s="57">
      <c r="A17" s="59" t="inlineStr">
        <is>
          <t>BOV high / mid / low (AA-AC)</t>
        </is>
      </c>
      <c r="B17" s="60" t="inlineStr">
        <is>
          <t>A single broker's three-point opinion of value.</t>
        </is>
      </c>
    </row>
    <row r="18" ht="31.5" customHeight="1" s="57">
      <c r="A18" s="59" t="inlineStr">
        <is>
          <t>BOV median high / mid / low (AD-AF)</t>
        </is>
      </c>
      <c r="B18" s="60" t="inlineStr">
        <is>
          <t>Median across multiple brokers' BOVs (when Pontus collects more than one). Falls back to the single BOV when only one exists.</t>
        </is>
      </c>
    </row>
    <row r="19" ht="31.5" customHeight="1" s="57">
      <c r="A19" s="59" t="inlineStr">
        <is>
          <t>Actual assessment (AG)</t>
        </is>
      </c>
      <c r="B19" s="60" t="inlineStr">
        <is>
          <t>County's assessed value (the official roll value). Analyst-filled today; Stage 2 may scrape from assessor sites where exposed.</t>
        </is>
      </c>
    </row>
    <row r="20" ht="31.5" customHeight="1" s="57">
      <c r="A20" s="59" t="n"/>
      <c r="B20" s="60" t="n"/>
    </row>
    <row r="21" ht="15" customHeight="1" s="57">
      <c r="A21" s="61" t="inlineStr">
        <is>
          <t>Computed by formulas — don't edit (AH–AJ)</t>
        </is>
      </c>
    </row>
    <row r="22" ht="31.5" customHeight="1" s="57">
      <c r="A22" s="59" t="inlineStr">
        <is>
          <t>Variance ($) (AH)</t>
        </is>
      </c>
      <c r="B22" s="60" t="inlineStr">
        <is>
          <t>FORMULA: Actual assessment − BOV median mid. Positive = county is over-assessing (appeal candidate).</t>
        </is>
      </c>
    </row>
    <row r="23" ht="31.5" customHeight="1" s="57">
      <c r="A23" s="59" t="inlineStr">
        <is>
          <t>Variance (%) (AI)</t>
        </is>
      </c>
      <c r="B23" s="60" t="inlineStr">
        <is>
          <t>FORMULA: Variance ($) / BOV median mid. The percentage gap.</t>
        </is>
      </c>
    </row>
    <row r="24" ht="31.5" customHeight="1" s="57">
      <c r="A24" s="59" t="inlineStr">
        <is>
          <t>Appeal flag (AJ)</t>
        </is>
      </c>
      <c r="B24" s="60" t="inlineStr">
        <is>
          <t>FORMULA: STRONG if ≥15%, FILE if ≥10%, INVESTIGATE if ≥7%, PASS otherwise. Thresholds are PLACEHOLDERS — confirm with Michael.</t>
        </is>
      </c>
    </row>
    <row r="25" ht="31.5" customHeight="1" s="57">
      <c r="A25" s="59" t="n"/>
      <c r="B25" s="60" t="n"/>
    </row>
    <row r="26" ht="15" customHeight="1" s="57">
      <c r="A26" s="61" t="inlineStr">
        <is>
          <t>Placeholder data</t>
        </is>
      </c>
    </row>
    <row r="27" ht="31.5" customHeight="1" s="57">
      <c r="A27" s="59" t="n"/>
      <c r="B27" s="60" t="inlineStr">
        <is>
          <t>Numbers in the new columns are RANDOM placeholders so the formulas and conditional formatting are visible. Replace with real data before using for any decision. The Variance/Appeal Flag formulas recompute automatically.</t>
        </is>
      </c>
    </row>
    <row r="28" ht="31.5" customHeight="1" s="57">
      <c r="A28" s="59" t="n"/>
      <c r="B28" s="60" t="n"/>
    </row>
    <row r="29" ht="15" customHeight="1" s="57">
      <c r="A29" s="61" t="inlineStr">
        <is>
          <t>Open questions to resolve with Michael</t>
        </is>
      </c>
    </row>
    <row r="30" ht="31.5" customHeight="1" s="57">
      <c r="A30" s="59" t="inlineStr">
        <is>
          <t>Appeal threshold</t>
        </is>
      </c>
      <c r="B30" s="60" t="inlineStr">
        <is>
          <t>What variance % does Pontus actually use to decide whether to appeal? Industry rule-of-thumb is 10% but jurisdictions and consultants vary. Currently set to 7/10/15%.</t>
        </is>
      </c>
    </row>
    <row r="31" ht="31.5" customHeight="1" s="57">
      <c r="A31" s="59" t="inlineStr">
        <is>
          <t>BOV median aggregation</t>
        </is>
      </c>
      <c r="B31" s="60" t="inlineStr">
        <is>
          <t>Are the median columns aggregating multiple brokers, multiple time periods, or multiple valuation methods? Affects how the columns get populated in practice.</t>
        </is>
      </c>
    </row>
    <row r="32" ht="31.5" customHeight="1" s="57">
      <c r="A32" s="59" t="inlineStr">
        <is>
          <t>Multi-authority data</t>
        </is>
      </c>
      <c r="B32" s="60" t="inlineStr">
        <is>
          <t>Per-authority assessed values aren't visible on most portals. The Jurisdiction Links columns let analysts manually link out; auto-scraping per-authority is deferred to Stage 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AV89"/>
  <sheetViews>
    <sheetView showFormulas="0" showGridLines="1" showRowColHeaders="1" showZeros="1" rightToLeft="0" tabSelected="1" showOutlineSymbols="1" defaultGridColor="1" view="normal" topLeftCell="A1" colorId="64" zoomScale="100" zoomScaleNormal="100" zoomScalePageLayoutView="70" workbookViewId="0">
      <pane xSplit="2" ySplit="3" topLeftCell="L4" activePane="bottomRight" state="frozen"/>
      <selection pane="topLeft" activeCell="A1" activeCellId="0" sqref="A1"/>
      <selection pane="topRight" activeCell="L1" activeCellId="0" sqref="L1"/>
      <selection pane="bottomLeft" activeCell="A4" activeCellId="0" sqref="A4"/>
      <selection pane="bottomRight" activeCell="R1" activeCellId="0" sqref="R1"/>
    </sheetView>
  </sheetViews>
  <sheetFormatPr baseColWidth="8" defaultColWidth="18" defaultRowHeight="15" zeroHeight="0" outlineLevelRow="0"/>
  <cols>
    <col width="26.29" customWidth="1" style="62" min="1" max="1"/>
    <col width="16" customWidth="1" style="63" min="2" max="2"/>
    <col outlineLevel="1" width="8.57" customWidth="1" style="63" min="3" max="3"/>
    <col outlineLevel="1" width="9.289999999999999" customWidth="1" style="63" min="4" max="4"/>
    <col outlineLevel="1" width="25.71" customWidth="1" style="63" min="5" max="5"/>
    <col outlineLevel="1" width="10.29" customWidth="1" style="63" min="6" max="6"/>
    <col outlineLevel="1" width="32.72" customWidth="1" style="63" min="7" max="7"/>
    <col outlineLevel="1" width="19" customWidth="1" style="63" min="8" max="8"/>
    <col width="23.71" customWidth="1" style="64" min="9" max="9"/>
    <col width="14.72" customWidth="1" style="65" min="10" max="10"/>
    <col width="23.28" customWidth="1" style="65" min="11" max="11"/>
    <col outlineLevel="1" width="23.28" customWidth="1" style="65" min="12" max="12"/>
    <col outlineLevel="1" width="23.28" customWidth="1" style="66" min="13" max="13"/>
    <col width="22.71" customWidth="1" style="63" min="14" max="14"/>
    <col width="22.28" customWidth="1" style="63" min="15" max="15"/>
    <col width="30.43" customWidth="1" style="63" min="16" max="16"/>
    <col width="21.28" customWidth="1" style="63" min="17" max="17"/>
    <col width="26.43" customWidth="1" style="63" min="18" max="18"/>
    <col width="18" customWidth="1" style="67" min="19" max="16384"/>
    <col width="12" customWidth="1" style="57" min="20" max="20"/>
  </cols>
  <sheetData>
    <row r="1" ht="15" customHeight="1" s="57">
      <c r="A1" s="68">
        <f>TODAY()</f>
        <v/>
      </c>
      <c r="I1" s="69" t="n"/>
      <c r="J1" s="70" t="n"/>
      <c r="K1" s="70" t="n"/>
      <c r="L1" s="70" t="n"/>
      <c r="M1" s="71" t="n"/>
    </row>
    <row r="2" ht="15" customHeight="1" s="57">
      <c r="A2" s="72" t="inlineStr">
        <is>
          <t>Location</t>
        </is>
      </c>
      <c r="B2" s="73" t="n"/>
      <c r="C2" s="73" t="n"/>
      <c r="D2" s="74" t="n"/>
      <c r="E2" s="72" t="inlineStr">
        <is>
          <t>Business Plan</t>
        </is>
      </c>
      <c r="F2" s="74" t="n"/>
      <c r="G2" s="75" t="inlineStr">
        <is>
          <t>Property Tax</t>
        </is>
      </c>
      <c r="H2" s="76" t="n"/>
      <c r="I2" s="72" t="inlineStr">
        <is>
          <t>Due Date</t>
        </is>
      </c>
      <c r="J2" s="73" t="n"/>
      <c r="K2" s="73" t="n"/>
      <c r="L2" s="73" t="n"/>
      <c r="M2" s="74" t="n"/>
      <c r="N2" s="76" t="n"/>
      <c r="O2" s="76" t="n"/>
      <c r="P2" s="76" t="n"/>
      <c r="Q2" s="76" t="n"/>
      <c r="R2" s="77" t="n"/>
      <c r="S2" s="78" t="inlineStr">
        <is>
          <t>Payment Status (Last Run)</t>
        </is>
      </c>
      <c r="X2" s="78" t="inlineStr">
        <is>
          <t>Jurisdiction Links</t>
        </is>
      </c>
      <c r="AA2" s="78" t="inlineStr">
        <is>
          <t>BOV — Single Broker</t>
        </is>
      </c>
      <c r="AE2" s="78" t="inlineStr">
        <is>
          <t>BOV — Median of Multiple</t>
        </is>
      </c>
      <c r="AH2" s="78" t="inlineStr">
        <is>
          <t>Assessment &amp; Appeal</t>
        </is>
      </c>
    </row>
    <row r="3" ht="15" customHeight="1" s="57">
      <c r="A3" s="79" t="inlineStr">
        <is>
          <t>Address</t>
        </is>
      </c>
      <c r="B3" s="80" t="inlineStr">
        <is>
          <t>City</t>
        </is>
      </c>
      <c r="C3" s="80" t="inlineStr">
        <is>
          <t>ST</t>
        </is>
      </c>
      <c r="D3" s="81" t="inlineStr">
        <is>
          <t>Zip</t>
        </is>
      </c>
      <c r="E3" s="79" t="inlineStr">
        <is>
          <t>Owner Entity</t>
        </is>
      </c>
      <c r="F3" s="80" t="inlineStr">
        <is>
          <t>PID</t>
        </is>
      </c>
      <c r="G3" s="82" t="inlineStr">
        <is>
          <t>Account #</t>
        </is>
      </c>
      <c r="H3" s="83" t="inlineStr">
        <is>
          <t># Installments</t>
        </is>
      </c>
      <c r="I3" s="84" t="inlineStr">
        <is>
          <t>Early Bird</t>
        </is>
      </c>
      <c r="J3" s="85" t="inlineStr">
        <is>
          <t>#1</t>
        </is>
      </c>
      <c r="K3" s="85" t="inlineStr">
        <is>
          <t>#2</t>
        </is>
      </c>
      <c r="L3" s="85" t="inlineStr">
        <is>
          <t>#3</t>
        </is>
      </c>
      <c r="M3" s="86" t="inlineStr">
        <is>
          <t>#4</t>
        </is>
      </c>
      <c r="N3" s="83" t="inlineStr">
        <is>
          <t>Paid Confirmation</t>
        </is>
      </c>
      <c r="O3" s="83" t="inlineStr">
        <is>
          <t>Responsible Party</t>
        </is>
      </c>
      <c r="P3" s="83" t="inlineStr">
        <is>
          <t>Taxing Authority</t>
        </is>
      </c>
      <c r="Q3" s="83" t="inlineStr">
        <is>
          <t>Phone</t>
        </is>
      </c>
      <c r="R3" s="83" t="inlineStr">
        <is>
          <t>Website</t>
        </is>
      </c>
      <c r="S3" s="87" t="inlineStr">
        <is>
          <t>Ultimate payment due</t>
        </is>
      </c>
      <c r="T3" s="88" t="inlineStr">
        <is>
          <t>Confidence</t>
        </is>
      </c>
      <c r="U3" s="87" t="inlineStr">
        <is>
          <t>Payment date</t>
        </is>
      </c>
      <c r="V3" s="87" t="inlineStr">
        <is>
          <t>Payment amount</t>
        </is>
      </c>
      <c r="W3" s="87" t="inlineStr">
        <is>
          <t>Next due date</t>
        </is>
      </c>
      <c r="X3" s="87" t="inlineStr">
        <is>
          <t>Jurisdiction link primary</t>
        </is>
      </c>
      <c r="Y3" s="87" t="inlineStr">
        <is>
          <t>Jurisdiction link secondary</t>
        </is>
      </c>
      <c r="Z3" s="87" t="inlineStr">
        <is>
          <t>Jurisdiction link tertiary</t>
        </is>
      </c>
      <c r="AA3" s="87" t="inlineStr">
        <is>
          <t>BOV source</t>
        </is>
      </c>
      <c r="AB3" s="87" t="inlineStr">
        <is>
          <t>BOV high</t>
        </is>
      </c>
      <c r="AC3" s="87" t="inlineStr">
        <is>
          <t>BOV mid</t>
        </is>
      </c>
      <c r="AD3" s="87" t="inlineStr">
        <is>
          <t>BOV low</t>
        </is>
      </c>
      <c r="AE3" s="87" t="inlineStr">
        <is>
          <t>BOV median high</t>
        </is>
      </c>
      <c r="AF3" s="87" t="inlineStr">
        <is>
          <t>BOV median mid</t>
        </is>
      </c>
      <c r="AG3" s="87" t="inlineStr">
        <is>
          <t>BOV median low</t>
        </is>
      </c>
      <c r="AH3" s="87" t="inlineStr">
        <is>
          <t>Actual assessment</t>
        </is>
      </c>
      <c r="AI3" s="87" t="inlineStr">
        <is>
          <t>Variance ($)</t>
        </is>
      </c>
      <c r="AJ3" s="87" t="inlineStr">
        <is>
          <t>Variance (%)</t>
        </is>
      </c>
      <c r="AK3" s="87" t="inlineStr">
        <is>
          <t>Appeal flag</t>
        </is>
      </c>
    </row>
    <row r="4" ht="15" customHeight="1" s="57">
      <c r="A4" s="89" t="inlineStr">
        <is>
          <t>4158 CR 218</t>
        </is>
      </c>
      <c r="B4" s="63" t="inlineStr">
        <is>
          <t>Middleburg</t>
        </is>
      </c>
      <c r="C4" s="63" t="inlineStr">
        <is>
          <t>FL</t>
        </is>
      </c>
      <c r="D4" s="90" t="n">
        <v>32068</v>
      </c>
      <c r="E4" s="91" t="inlineStr">
        <is>
          <t>PC Slices, LLC</t>
        </is>
      </c>
      <c r="F4" s="63" t="inlineStr">
        <is>
          <t>PS4158</t>
        </is>
      </c>
      <c r="G4" s="92" t="inlineStr">
        <is>
          <t>09-05-24-005954-056-00</t>
        </is>
      </c>
      <c r="H4" s="93" t="n">
        <v>1</v>
      </c>
      <c r="I4" s="69" t="n"/>
      <c r="J4" s="70" t="n">
        <v>46112</v>
      </c>
      <c r="K4" s="70" t="n"/>
      <c r="L4" s="70" t="n"/>
      <c r="M4" s="71" t="n"/>
      <c r="N4" s="70" t="n"/>
      <c r="O4" s="93" t="inlineStr">
        <is>
          <t>Perfect Pizza</t>
        </is>
      </c>
      <c r="P4" s="93" t="inlineStr">
        <is>
          <t xml:space="preserve">Clay County </t>
        </is>
      </c>
      <c r="Q4" s="93" t="n">
        <v>9042846320</v>
      </c>
      <c r="R4" s="94" t="inlineStr">
        <is>
          <t>https://county-taxes.net/fl-clay/property-tax/Y2xheTpyZWFsX2VzdGF0ZTpwYXJlbnRzOjM2OTQwMzc0LTM0N2MtMTFlZC05NzQ1LThlM2ZlZjFhN2Q3MQ==</t>
        </is>
      </c>
      <c r="S4" s="95" t="n">
        <v>0</v>
      </c>
      <c r="T4" s="96" t="inlineStr">
        <is>
          <t>HIGH</t>
        </is>
      </c>
      <c r="U4" s="97" t="inlineStr">
        <is>
          <t>2025-11-15</t>
        </is>
      </c>
      <c r="V4" s="95" t="n">
        <v>19937</v>
      </c>
      <c r="W4" s="97" t="inlineStr">
        <is>
          <t>2026-11-23</t>
        </is>
      </c>
      <c r="X4" s="98" t="inlineStr">
        <is>
          <t>https://county-taxes.net/fl-clay/property-tax/Y2xheTpyZWFsX2VzdGF0ZTpwYXJlbnRzOjM2OTQwMzc0LTM0N2MtMTFlZC05NzQ1LThlM2ZlZjFhN2Q3MQ==</t>
        </is>
      </c>
      <c r="Y4" s="98" t="n"/>
      <c r="Z4" s="98" t="n"/>
      <c r="AA4" s="98" t="inlineStr">
        <is>
          <t>TBD — replace with broker name + date</t>
        </is>
      </c>
      <c r="AB4" s="99" t="n">
        <v>3513000</v>
      </c>
      <c r="AC4" s="99" t="n">
        <v>3055000</v>
      </c>
      <c r="AD4" s="99" t="n">
        <v>2596000</v>
      </c>
      <c r="AE4" s="99" t="n">
        <v>3514000</v>
      </c>
      <c r="AF4" s="99" t="n">
        <v>3108000</v>
      </c>
      <c r="AG4" s="99" t="n">
        <v>2560000</v>
      </c>
      <c r="AH4" s="99" t="n">
        <v>3666000</v>
      </c>
      <c r="AI4" s="99">
        <f>AH4-AF4</f>
        <v/>
      </c>
      <c r="AJ4" s="100">
        <f>IF(AF4=0,"",AI4/AF4)</f>
        <v/>
      </c>
      <c r="AK4" s="101">
        <f>IF(AJ4="","",IF(AJ4&gt;=0.15,"STRONG",IF(AJ4&gt;=0.1,"FILE",IF(AJ4&gt;=0.07,"INVESTIGATE","PASS"))))</f>
        <v/>
      </c>
    </row>
    <row r="5" ht="15" customHeight="1" s="57">
      <c r="A5" s="89" t="inlineStr">
        <is>
          <t>1210 Blanding Blvd.</t>
        </is>
      </c>
      <c r="B5" s="63" t="inlineStr">
        <is>
          <t>Orange Park</t>
        </is>
      </c>
      <c r="C5" s="63" t="inlineStr">
        <is>
          <t>FL</t>
        </is>
      </c>
      <c r="D5" s="90" t="n">
        <v>32073</v>
      </c>
      <c r="E5" s="91" t="inlineStr">
        <is>
          <t>PC Slices, LLC</t>
        </is>
      </c>
      <c r="F5" s="63" t="inlineStr">
        <is>
          <t>PS1210</t>
        </is>
      </c>
      <c r="G5" s="91" t="inlineStr">
        <is>
          <t>270425-020949-003-00</t>
        </is>
      </c>
      <c r="H5" s="63" t="n">
        <v>1</v>
      </c>
      <c r="J5" s="65" t="n">
        <v>46112</v>
      </c>
      <c r="N5" s="65" t="n"/>
      <c r="O5" s="63" t="inlineStr">
        <is>
          <t>Perfect Pizza</t>
        </is>
      </c>
      <c r="P5" s="63" t="inlineStr">
        <is>
          <t xml:space="preserve">Clay County </t>
        </is>
      </c>
      <c r="Q5" s="63" t="n">
        <v>9042846320</v>
      </c>
      <c r="R5" s="102" t="inlineStr">
        <is>
          <t>https://county-taxes.net/fl-clay/fl-clay/property-tax/Y2xheTpyZWFsX2VzdGF0ZTpwYXJlbnRzOjUwMWFhMGI0LTM0N2MtMTFlZC1hZmNhLTMzN2E4MWM5MGY1MA==</t>
        </is>
      </c>
      <c r="S5" s="95" t="n">
        <v>0</v>
      </c>
      <c r="T5" s="96" t="n"/>
      <c r="U5" s="97" t="inlineStr">
        <is>
          <t>2025-11-27</t>
        </is>
      </c>
      <c r="V5" s="95" t="n">
        <v>9778</v>
      </c>
      <c r="W5" s="97" t="inlineStr">
        <is>
          <t>2026-12-19</t>
        </is>
      </c>
      <c r="X5" s="98" t="inlineStr">
        <is>
          <t>https://county-taxes.net/fl-clay/fl-clay/property-tax/Y2xheTpyZWFsX2VzdGF0ZTpwYXJlbnRzOjUwMWFhMGI0LTM0N2MtMTFlZC1hZmNhLTMzN2E4MWM5MGY1MA==</t>
        </is>
      </c>
      <c r="Y5" s="98" t="n"/>
      <c r="Z5" s="98" t="n"/>
      <c r="AA5" s="98" t="inlineStr">
        <is>
          <t>TBD — replace with broker name + date</t>
        </is>
      </c>
      <c r="AB5" s="99" t="n">
        <v>4003000</v>
      </c>
      <c r="AC5" s="99" t="n">
        <v>3481000</v>
      </c>
      <c r="AD5" s="99" t="n">
        <v>2958000</v>
      </c>
      <c r="AE5" s="99" t="n">
        <v>3919000</v>
      </c>
      <c r="AF5" s="99" t="n">
        <v>3390000</v>
      </c>
      <c r="AG5" s="99" t="n">
        <v>2879000</v>
      </c>
      <c r="AH5" s="99" t="n">
        <v>3899000</v>
      </c>
      <c r="AI5" s="99">
        <f>AH5-AF5</f>
        <v/>
      </c>
      <c r="AJ5" s="100">
        <f>IF(AF5=0,"",AI5/AF5)</f>
        <v/>
      </c>
      <c r="AK5" s="101">
        <f>IF(AJ5="","",IF(AJ5&gt;=0.15,"STRONG",IF(AJ5&gt;=0.1,"FILE",IF(AJ5&gt;=0.07,"INVESTIGATE","PASS"))))</f>
        <v/>
      </c>
    </row>
    <row r="6" ht="15" customHeight="1" s="57">
      <c r="A6" s="89" t="inlineStr">
        <is>
          <t>1602 Reid Street</t>
        </is>
      </c>
      <c r="B6" s="63" t="inlineStr">
        <is>
          <t>Palatka</t>
        </is>
      </c>
      <c r="C6" s="63" t="inlineStr">
        <is>
          <t>FL</t>
        </is>
      </c>
      <c r="D6" s="90" t="n">
        <v>32177</v>
      </c>
      <c r="E6" s="91" t="inlineStr">
        <is>
          <t>PC Slices, LLC</t>
        </is>
      </c>
      <c r="F6" s="63" t="inlineStr">
        <is>
          <t>PS1602</t>
        </is>
      </c>
      <c r="G6" s="91" t="inlineStr">
        <is>
          <t>37-10-26-6850-3040-0100</t>
        </is>
      </c>
      <c r="H6" s="63" t="n">
        <v>1</v>
      </c>
      <c r="J6" s="65" t="n">
        <v>46112</v>
      </c>
      <c r="N6" s="65" t="n"/>
      <c r="O6" s="63" t="inlineStr">
        <is>
          <t>MVM</t>
        </is>
      </c>
      <c r="P6" s="63" t="inlineStr">
        <is>
          <t>Putnam County</t>
        </is>
      </c>
      <c r="Q6" s="63" t="n">
        <v>3863290282</v>
      </c>
      <c r="R6" s="102" t="inlineStr">
        <is>
          <t>https://ptaxweb.putnamtax.com/ptaxweb/editPropertySearch2.action</t>
        </is>
      </c>
      <c r="S6" s="95" t="n">
        <v>0</v>
      </c>
      <c r="T6" s="96" t="n"/>
      <c r="U6" s="97" t="inlineStr">
        <is>
          <t>2025-12-22</t>
        </is>
      </c>
      <c r="V6" s="95" t="n">
        <v>9088</v>
      </c>
      <c r="W6" s="97" t="inlineStr">
        <is>
          <t>2026-12-14</t>
        </is>
      </c>
      <c r="X6" s="98" t="inlineStr">
        <is>
          <t>https://ptaxweb.putnamtax.com/ptaxweb/editPropertySearch2.action</t>
        </is>
      </c>
      <c r="Y6" s="98" t="n"/>
      <c r="Z6" s="98" t="n"/>
      <c r="AA6" s="98" t="inlineStr">
        <is>
          <t>TBD — replace with broker name + date</t>
        </is>
      </c>
      <c r="AB6" s="99" t="n">
        <v>3972000</v>
      </c>
      <c r="AC6" s="99" t="n">
        <v>3454000</v>
      </c>
      <c r="AD6" s="99" t="n">
        <v>2935000</v>
      </c>
      <c r="AE6" s="99" t="n">
        <v>4067000</v>
      </c>
      <c r="AF6" s="99" t="n">
        <v>3454000</v>
      </c>
      <c r="AG6" s="99" t="n">
        <v>3020000</v>
      </c>
      <c r="AH6" s="99" t="n">
        <v>3731000</v>
      </c>
      <c r="AI6" s="99">
        <f>AH6-AF6</f>
        <v/>
      </c>
      <c r="AJ6" s="100">
        <f>IF(AF6=0,"",AI6/AF6)</f>
        <v/>
      </c>
      <c r="AK6" s="101">
        <f>IF(AJ6="","",IF(AJ6&gt;=0.15,"STRONG",IF(AJ6&gt;=0.1,"FILE",IF(AJ6&gt;=0.07,"INVESTIGATE","PASS"))))</f>
        <v/>
      </c>
    </row>
    <row r="7" ht="15" customHeight="1" s="57">
      <c r="A7" s="89" t="inlineStr">
        <is>
          <t>3570 S US 1</t>
        </is>
      </c>
      <c r="B7" s="63" t="inlineStr">
        <is>
          <t>Saint Augustine</t>
        </is>
      </c>
      <c r="C7" s="63" t="inlineStr">
        <is>
          <t>FL</t>
        </is>
      </c>
      <c r="D7" s="90" t="n">
        <v>32084</v>
      </c>
      <c r="E7" s="91" t="inlineStr">
        <is>
          <t>PC Slices, LLC</t>
        </is>
      </c>
      <c r="F7" s="63" t="inlineStr">
        <is>
          <t>PS3570</t>
        </is>
      </c>
      <c r="G7" s="91" t="inlineStr">
        <is>
          <t>173800-0030</t>
        </is>
      </c>
      <c r="H7" s="63" t="n">
        <v>1</v>
      </c>
      <c r="J7" s="65" t="n">
        <v>46112</v>
      </c>
      <c r="N7" s="65" t="n"/>
      <c r="O7" s="63" t="inlineStr">
        <is>
          <t>Perfect Pizza</t>
        </is>
      </c>
      <c r="P7" s="63" t="inlineStr">
        <is>
          <t>St. Johns County</t>
        </is>
      </c>
      <c r="Q7" s="63" t="n">
        <v>9042092250</v>
      </c>
      <c r="R7" s="102" t="inlineStr">
        <is>
          <t>https://www.stjohnstax.us/PropertyDetail?p=173800-0030&amp;y=2024&amp;b=127955.0000</t>
        </is>
      </c>
      <c r="S7" s="95" t="n">
        <v>0</v>
      </c>
      <c r="T7" s="96" t="n"/>
      <c r="U7" s="97" t="inlineStr">
        <is>
          <t>2025-11-26</t>
        </is>
      </c>
      <c r="V7" s="95" t="n">
        <v>21840</v>
      </c>
      <c r="W7" s="97" t="inlineStr">
        <is>
          <t>2026-12-19</t>
        </is>
      </c>
      <c r="X7" s="98" t="inlineStr">
        <is>
          <t>https://www.stjohnstax.us/PropertyDetail?p=173800-0030&amp;y=2024&amp;b=127955.0000</t>
        </is>
      </c>
      <c r="Y7" s="98" t="inlineStr">
        <is>
          <t>https://example.com/x/property-7</t>
        </is>
      </c>
      <c r="Z7" s="98" t="n"/>
      <c r="AA7" s="98" t="inlineStr">
        <is>
          <t>TBD — replace with broker name + date</t>
        </is>
      </c>
      <c r="AB7" s="99" t="n">
        <v>2679000</v>
      </c>
      <c r="AC7" s="99" t="n">
        <v>2330000</v>
      </c>
      <c r="AD7" s="99" t="n">
        <v>1980000</v>
      </c>
      <c r="AE7" s="99" t="n">
        <v>2606000</v>
      </c>
      <c r="AF7" s="99" t="n">
        <v>2382000</v>
      </c>
      <c r="AG7" s="99" t="n">
        <v>1955000</v>
      </c>
      <c r="AH7" s="99" t="n">
        <v>2377000</v>
      </c>
      <c r="AI7" s="99">
        <f>AH7-AF7</f>
        <v/>
      </c>
      <c r="AJ7" s="100">
        <f>IF(AF7=0,"",AI7/AF7)</f>
        <v/>
      </c>
      <c r="AK7" s="101">
        <f>IF(AJ7="","",IF(AJ7&gt;=0.15,"STRONG",IF(AJ7&gt;=0.1,"FILE",IF(AJ7&gt;=0.07,"INVESTIGATE","PASS"))))</f>
        <v/>
      </c>
    </row>
    <row r="8" ht="15" customHeight="1" s="57">
      <c r="A8" s="89" t="inlineStr">
        <is>
          <t>950 Evernia St</t>
        </is>
      </c>
      <c r="B8" s="63" t="inlineStr">
        <is>
          <t>West Palm Beach</t>
        </is>
      </c>
      <c r="C8" s="63" t="inlineStr">
        <is>
          <t>FL</t>
        </is>
      </c>
      <c r="D8" s="90" t="n">
        <v>33401</v>
      </c>
      <c r="E8" s="91" t="inlineStr">
        <is>
          <t>Pontus EHC Palm Beach, LLC</t>
        </is>
      </c>
      <c r="F8" s="63" t="inlineStr">
        <is>
          <t>EHC950</t>
        </is>
      </c>
      <c r="G8" s="91" t="n">
        <v>101606030</v>
      </c>
      <c r="H8" s="63" t="n">
        <v>1</v>
      </c>
      <c r="I8" s="64" t="n">
        <v>46356</v>
      </c>
      <c r="J8" s="65" t="n">
        <v>46112</v>
      </c>
      <c r="N8" s="65" t="n"/>
      <c r="O8" s="63" t="inlineStr">
        <is>
          <t>Ethema</t>
        </is>
      </c>
      <c r="R8" s="102" t="inlineStr">
        <is>
          <t>https://pbctax.publicaccessnow.com/PropertyTax/Account/BillDetail.aspx?p=74-43-43-21-01-043-0050&amp;t=Real%20Property&amp;a=1418360&amp;b=26795046&amp;y=2024&amp;n=101606030</t>
        </is>
      </c>
      <c r="S8" s="95" t="n">
        <v>0</v>
      </c>
      <c r="T8" s="96" t="n"/>
      <c r="U8" s="97" t="inlineStr">
        <is>
          <t>2025-12-27</t>
        </is>
      </c>
      <c r="V8" s="95" t="n">
        <v>9407</v>
      </c>
      <c r="W8" s="97" t="inlineStr">
        <is>
          <t>2026-11-22</t>
        </is>
      </c>
      <c r="X8" s="98" t="inlineStr">
        <is>
          <t>https://pbctax.publicaccessnow.com/PropertyTax/Account/BillDetail.aspx?p=74-43-43-21-01-043-0050&amp;t=Real%20Property&amp;a=1418360&amp;b=26795046&amp;y=2024&amp;n=101606030</t>
        </is>
      </c>
      <c r="Y8" s="98" t="n"/>
      <c r="Z8" s="98" t="n"/>
      <c r="AA8" s="98" t="inlineStr">
        <is>
          <t>TBD — replace with broker name + date</t>
        </is>
      </c>
      <c r="AB8" s="99" t="n">
        <v>2831000</v>
      </c>
      <c r="AC8" s="99" t="n">
        <v>2462000</v>
      </c>
      <c r="AD8" s="99" t="n">
        <v>2092000</v>
      </c>
      <c r="AE8" s="99" t="n">
        <v>2858000</v>
      </c>
      <c r="AF8" s="99" t="n">
        <v>2507000</v>
      </c>
      <c r="AG8" s="99" t="n">
        <v>2077000</v>
      </c>
      <c r="AH8" s="99" t="n">
        <v>2955000</v>
      </c>
      <c r="AI8" s="99">
        <f>AH8-AF8</f>
        <v/>
      </c>
      <c r="AJ8" s="100">
        <f>IF(AF8=0,"",AI8/AF8)</f>
        <v/>
      </c>
      <c r="AK8" s="101">
        <f>IF(AJ8="","",IF(AJ8&gt;=0.15,"STRONG",IF(AJ8&gt;=0.1,"FILE",IF(AJ8&gt;=0.07,"INVESTIGATE","PASS"))))</f>
        <v/>
      </c>
    </row>
    <row r="9" ht="15" customHeight="1" s="57">
      <c r="A9" s="89" t="inlineStr">
        <is>
          <t>1 Valpak Avenue</t>
        </is>
      </c>
      <c r="B9" s="63" t="inlineStr">
        <is>
          <t>St. Petersburg</t>
        </is>
      </c>
      <c r="C9" s="63" t="inlineStr">
        <is>
          <t>FL</t>
        </is>
      </c>
      <c r="D9" s="90" t="n">
        <v>33716</v>
      </c>
      <c r="E9" s="91" t="inlineStr">
        <is>
          <t>Pontus PAK Tampa, LLC</t>
        </is>
      </c>
      <c r="F9" s="63" t="inlineStr">
        <is>
          <t>PAK1000</t>
        </is>
      </c>
      <c r="G9" s="91" t="inlineStr">
        <is>
          <t>R444958</t>
        </is>
      </c>
      <c r="H9" s="63" t="n">
        <v>1</v>
      </c>
      <c r="I9" s="64" t="n">
        <v>45991</v>
      </c>
      <c r="J9" s="65" t="n">
        <v>46112</v>
      </c>
      <c r="O9" s="63" t="inlineStr">
        <is>
          <t>Valpak</t>
        </is>
      </c>
      <c r="R9" s="102" t="inlineStr">
        <is>
          <t>https://pinellastaxcollector.gov/property-tax/</t>
        </is>
      </c>
      <c r="S9" s="95" t="n">
        <v>0</v>
      </c>
      <c r="T9" s="96" t="n"/>
      <c r="U9" s="97" t="inlineStr">
        <is>
          <t>2025-12-19</t>
        </is>
      </c>
      <c r="V9" s="95" t="n">
        <v>4064</v>
      </c>
      <c r="W9" s="97" t="inlineStr">
        <is>
          <t>2026-11-12</t>
        </is>
      </c>
      <c r="X9" s="98" t="inlineStr">
        <is>
          <t>https://pinellastaxcollector.gov/property-tax/</t>
        </is>
      </c>
      <c r="Y9" s="98" t="n"/>
      <c r="Z9" s="98" t="n"/>
      <c r="AA9" s="98" t="inlineStr">
        <is>
          <t>TBD — replace with broker name + date</t>
        </is>
      </c>
      <c r="AB9" s="99" t="n">
        <v>2990000</v>
      </c>
      <c r="AC9" s="99" t="n">
        <v>2600000</v>
      </c>
      <c r="AD9" s="99" t="n">
        <v>2210000</v>
      </c>
      <c r="AE9" s="99" t="n">
        <v>3046000</v>
      </c>
      <c r="AF9" s="99" t="n">
        <v>2528000</v>
      </c>
      <c r="AG9" s="99" t="n">
        <v>2254000</v>
      </c>
      <c r="AH9" s="99" t="n">
        <v>2913000</v>
      </c>
      <c r="AI9" s="99">
        <f>AH9-AF9</f>
        <v/>
      </c>
      <c r="AJ9" s="100">
        <f>IF(AF9=0,"",AI9/AF9)</f>
        <v/>
      </c>
      <c r="AK9" s="101">
        <f>IF(AJ9="","",IF(AJ9&gt;=0.15,"STRONG",IF(AJ9&gt;=0.1,"FILE",IF(AJ9&gt;=0.07,"INVESTIGATE","PASS"))))</f>
        <v/>
      </c>
    </row>
    <row r="10" ht="15" customHeight="1" s="57">
      <c r="A10" s="89" t="inlineStr">
        <is>
          <t>8301 W. McNab Road</t>
        </is>
      </c>
      <c r="B10" s="63" t="inlineStr">
        <is>
          <t>Tamarac</t>
        </is>
      </c>
      <c r="C10" s="63" t="inlineStr">
        <is>
          <t>FL</t>
        </is>
      </c>
      <c r="D10" s="90" t="n">
        <v>33321</v>
      </c>
      <c r="E10" s="91" t="inlineStr">
        <is>
          <t>Pontus SW Portfolio, LLC</t>
        </is>
      </c>
      <c r="F10" s="63" t="inlineStr">
        <is>
          <t>SW8301</t>
        </is>
      </c>
      <c r="G10" s="91" t="inlineStr">
        <is>
          <t>494104 20 0110</t>
        </is>
      </c>
      <c r="H10" s="63" t="n">
        <v>1</v>
      </c>
      <c r="I10" s="64" t="n">
        <v>45991</v>
      </c>
      <c r="J10" s="65" t="n">
        <v>46112</v>
      </c>
      <c r="N10" s="65" t="n"/>
      <c r="O10" s="63" t="inlineStr">
        <is>
          <t>Regard</t>
        </is>
      </c>
      <c r="P10" s="63" t="inlineStr">
        <is>
          <t>Broward County</t>
        </is>
      </c>
      <c r="Q10" s="63" t="n">
        <v>9548314000</v>
      </c>
      <c r="R10" s="102" t="inlineStr">
        <is>
          <t>www.broward.org</t>
        </is>
      </c>
      <c r="S10" s="95" t="n">
        <v>0</v>
      </c>
      <c r="T10" s="96" t="n"/>
      <c r="U10" s="97" t="inlineStr">
        <is>
          <t>2025-12-28</t>
        </is>
      </c>
      <c r="V10" s="95" t="n">
        <v>4042</v>
      </c>
      <c r="W10" s="97" t="inlineStr">
        <is>
          <t>2026-11-26</t>
        </is>
      </c>
      <c r="X10" s="98" t="inlineStr">
        <is>
          <t>www.broward.org</t>
        </is>
      </c>
      <c r="Y10" s="98" t="n"/>
      <c r="Z10" s="98" t="n"/>
      <c r="AA10" s="98" t="inlineStr">
        <is>
          <t>TBD — replace with broker name + date</t>
        </is>
      </c>
      <c r="AB10" s="99" t="n">
        <v>4419000</v>
      </c>
      <c r="AC10" s="99" t="n">
        <v>3843000</v>
      </c>
      <c r="AD10" s="99" t="n">
        <v>3266000</v>
      </c>
      <c r="AE10" s="99" t="n">
        <v>4509000</v>
      </c>
      <c r="AF10" s="99" t="n">
        <v>3737000</v>
      </c>
      <c r="AG10" s="99" t="n">
        <v>3341000</v>
      </c>
      <c r="AH10" s="99" t="n">
        <v>4151000</v>
      </c>
      <c r="AI10" s="99">
        <f>AH10-AF10</f>
        <v/>
      </c>
      <c r="AJ10" s="100">
        <f>IF(AF10=0,"",AI10/AF10)</f>
        <v/>
      </c>
      <c r="AK10" s="101">
        <f>IF(AJ10="","",IF(AJ10&gt;=0.15,"STRONG",IF(AJ10&gt;=0.1,"FILE",IF(AJ10&gt;=0.07,"INVESTIGATE","PASS"))))</f>
        <v/>
      </c>
    </row>
    <row r="11" ht="15" customHeight="1" s="57">
      <c r="A11" s="89" t="inlineStr">
        <is>
          <t>615 E Elkcam Cir</t>
        </is>
      </c>
      <c r="B11" s="63" t="inlineStr">
        <is>
          <t>Marco Island</t>
        </is>
      </c>
      <c r="C11" s="63" t="inlineStr">
        <is>
          <t>FL</t>
        </is>
      </c>
      <c r="D11" s="90" t="n">
        <v>34145</v>
      </c>
      <c r="E11" s="91" t="inlineStr">
        <is>
          <t>Pontus Vault Portfolio, LLC</t>
        </is>
      </c>
      <c r="F11" s="63" t="inlineStr">
        <is>
          <t>VP615</t>
        </is>
      </c>
      <c r="G11" s="91" t="n">
        <v>56931560003</v>
      </c>
      <c r="H11" s="63" t="n">
        <v>1</v>
      </c>
      <c r="I11" s="64" t="n">
        <v>45991</v>
      </c>
      <c r="J11" s="65" t="n">
        <v>46112</v>
      </c>
      <c r="N11" s="65" t="n"/>
      <c r="O11" s="63" t="inlineStr">
        <is>
          <t>Trulieve</t>
        </is>
      </c>
      <c r="P11" s="63" t="inlineStr">
        <is>
          <t>Collier County</t>
        </is>
      </c>
      <c r="Q11" s="63" t="n">
        <v>56931560003</v>
      </c>
      <c r="R11" s="102" t="inlineStr">
        <is>
          <t>https://county-taxes.net/fl-collier/property-tax/Y29sbGllcjpyZWFsX2VzdGF0ZTpwYXJlbnRzOmQ0MzUyMmQ5LWU1MDgtMTFlYi1hODBmLTAwNTA1NjgxYTJiNw==</t>
        </is>
      </c>
      <c r="S11" s="95" t="n">
        <v>0</v>
      </c>
      <c r="T11" s="96" t="n"/>
      <c r="U11" s="97" t="inlineStr">
        <is>
          <t>2025-11-10</t>
        </is>
      </c>
      <c r="V11" s="95" t="n">
        <v>8078</v>
      </c>
      <c r="W11" s="97" t="inlineStr">
        <is>
          <t>2026-12-14</t>
        </is>
      </c>
      <c r="X11" s="98" t="inlineStr">
        <is>
          <t>https://county-taxes.net/fl-collier/property-tax/Y29sbGllcjpyZWFsX2VzdGF0ZTpwYXJlbnRzOmQ0MzUyMmQ5LWU1MDgtMTFlYi1hODBmLTAwNTA1NjgxYTJiNw==</t>
        </is>
      </c>
      <c r="Y11" s="98" t="n"/>
      <c r="Z11" s="98" t="inlineStr">
        <is>
          <t>https://example.com/y/property-11</t>
        </is>
      </c>
      <c r="AA11" s="98" t="inlineStr">
        <is>
          <t>TBD — replace with broker name + date</t>
        </is>
      </c>
      <c r="AB11" s="99" t="n">
        <v>4255000</v>
      </c>
      <c r="AC11" s="99" t="n">
        <v>3700000</v>
      </c>
      <c r="AD11" s="99" t="n">
        <v>3145000</v>
      </c>
      <c r="AE11" s="99" t="n">
        <v>4379000</v>
      </c>
      <c r="AF11" s="99" t="n">
        <v>3711000</v>
      </c>
      <c r="AG11" s="99" t="n">
        <v>3092000</v>
      </c>
      <c r="AH11" s="99" t="n">
        <v>3775000</v>
      </c>
      <c r="AI11" s="99">
        <f>AH11-AF11</f>
        <v/>
      </c>
      <c r="AJ11" s="100">
        <f>IF(AF11=0,"",AI11/AF11)</f>
        <v/>
      </c>
      <c r="AK11" s="101">
        <f>IF(AJ11="","",IF(AJ11&gt;=0.15,"STRONG",IF(AJ11&gt;=0.1,"FILE",IF(AJ11&gt;=0.07,"INVESTIGATE","PASS"))))</f>
        <v/>
      </c>
    </row>
    <row r="12" ht="15" customHeight="1" s="57">
      <c r="A12" s="89" t="inlineStr">
        <is>
          <t>3030 North Military Trail</t>
        </is>
      </c>
      <c r="B12" s="63" t="inlineStr">
        <is>
          <t>West Palm Beach</t>
        </is>
      </c>
      <c r="C12" s="63" t="inlineStr">
        <is>
          <t>FL</t>
        </is>
      </c>
      <c r="D12" s="90" t="n">
        <v>33409</v>
      </c>
      <c r="E12" s="91" t="inlineStr">
        <is>
          <t>Pontus TP Portfolio, LLC</t>
        </is>
      </c>
      <c r="F12" s="63" t="inlineStr">
        <is>
          <t>TP3030</t>
        </is>
      </c>
      <c r="G12" s="91" t="inlineStr">
        <is>
          <t>00-42-43-13-01-004-0020</t>
        </is>
      </c>
      <c r="H12" s="63" t="n">
        <v>1</v>
      </c>
      <c r="J12" s="65" t="n">
        <v>46112</v>
      </c>
      <c r="O12" s="63" t="inlineStr">
        <is>
          <t>Pinnacle</t>
        </is>
      </c>
      <c r="P12" s="63" t="inlineStr">
        <is>
          <t>Palm Beach County</t>
        </is>
      </c>
      <c r="Q12" s="63" t="inlineStr">
        <is>
          <t>(561) 355-2264</t>
        </is>
      </c>
      <c r="R12" s="102" t="inlineStr">
        <is>
          <t>https://www.pbctax.com/real-estate-property-tax/</t>
        </is>
      </c>
      <c r="S12" s="95" t="n">
        <v>0</v>
      </c>
      <c r="T12" s="96" t="n"/>
      <c r="U12" s="97" t="inlineStr">
        <is>
          <t>2025-11-19</t>
        </is>
      </c>
      <c r="V12" s="95" t="n">
        <v>18076</v>
      </c>
      <c r="W12" s="97" t="inlineStr">
        <is>
          <t>2026-12-13</t>
        </is>
      </c>
      <c r="X12" s="98" t="inlineStr">
        <is>
          <t>https://www.pbctax.com/real-estate-property-tax/</t>
        </is>
      </c>
      <c r="Y12" s="98" t="n"/>
      <c r="Z12" s="98" t="n"/>
      <c r="AA12" s="98" t="inlineStr">
        <is>
          <t>TBD — replace with broker name + date</t>
        </is>
      </c>
      <c r="AB12" s="99" t="n">
        <v>2242000</v>
      </c>
      <c r="AC12" s="99" t="n">
        <v>1950000</v>
      </c>
      <c r="AD12" s="99" t="n">
        <v>1657000</v>
      </c>
      <c r="AE12" s="99" t="n">
        <v>2286000</v>
      </c>
      <c r="AF12" s="99" t="n">
        <v>1998000</v>
      </c>
      <c r="AG12" s="99" t="n">
        <v>1649000</v>
      </c>
      <c r="AH12" s="99" t="n">
        <v>2341000</v>
      </c>
      <c r="AI12" s="99">
        <f>AH12-AF12</f>
        <v/>
      </c>
      <c r="AJ12" s="100">
        <f>IF(AF12=0,"",AI12/AF12)</f>
        <v/>
      </c>
      <c r="AK12" s="101">
        <f>IF(AJ12="","",IF(AJ12&gt;=0.15,"STRONG",IF(AJ12&gt;=0.1,"FILE",IF(AJ12&gt;=0.07,"INVESTIGATE","PASS"))))</f>
        <v/>
      </c>
    </row>
    <row r="13" ht="15" customHeight="1" s="57">
      <c r="A13" s="89" t="inlineStr">
        <is>
          <t>805 11th St</t>
        </is>
      </c>
      <c r="B13" s="63" t="inlineStr">
        <is>
          <t>Lakeport</t>
        </is>
      </c>
      <c r="C13" s="63" t="inlineStr">
        <is>
          <t>CA</t>
        </is>
      </c>
      <c r="D13" s="90" t="n">
        <v>95453</v>
      </c>
      <c r="E13" s="91" t="inlineStr">
        <is>
          <t>Pontus Vault Portfolio, LLC</t>
        </is>
      </c>
      <c r="F13" s="63" t="inlineStr">
        <is>
          <t>VP805</t>
        </is>
      </c>
      <c r="G13" s="91" t="inlineStr">
        <is>
          <t>026-301-280-000</t>
        </is>
      </c>
      <c r="H13" s="63" t="n">
        <v>2</v>
      </c>
      <c r="J13" s="65" t="n">
        <v>46122</v>
      </c>
      <c r="K13" s="103" t="n">
        <v>46366</v>
      </c>
      <c r="N13" s="65" t="n"/>
      <c r="O13" s="63" t="inlineStr">
        <is>
          <t>Umpqua Bank - CAM</t>
        </is>
      </c>
      <c r="P13" s="63" t="inlineStr">
        <is>
          <t>Lake County</t>
        </is>
      </c>
      <c r="Q13" s="63" t="n">
        <v>7072632234</v>
      </c>
      <c r="R13" s="102" t="inlineStr">
        <is>
          <t>https://common2.mptsweb.com/MBC/lake/tax/main/026301280000/2024/0000</t>
        </is>
      </c>
      <c r="S13" s="95" t="n">
        <v>141633</v>
      </c>
      <c r="T13" s="96" t="n"/>
      <c r="U13" s="104" t="n"/>
      <c r="V13" s="104" t="n"/>
      <c r="W13" s="104" t="n"/>
      <c r="X13" s="98" t="inlineStr">
        <is>
          <t>https://common2.mptsweb.com/MBC/lake/tax/main/026301280000/2024/0000</t>
        </is>
      </c>
      <c r="Y13" s="98" t="n"/>
      <c r="Z13" s="98" t="n"/>
      <c r="AA13" s="98" t="inlineStr">
        <is>
          <t>TBD — replace with broker name + date</t>
        </is>
      </c>
      <c r="AB13" s="99" t="n">
        <v>1928000</v>
      </c>
      <c r="AC13" s="99" t="n">
        <v>1677000</v>
      </c>
      <c r="AD13" s="99" t="n">
        <v>1425000</v>
      </c>
      <c r="AE13" s="99" t="n">
        <v>1920000</v>
      </c>
      <c r="AF13" s="99" t="n">
        <v>1680000</v>
      </c>
      <c r="AG13" s="99" t="n">
        <v>1418000</v>
      </c>
      <c r="AH13" s="99" t="n">
        <v>1879000</v>
      </c>
      <c r="AI13" s="99">
        <f>AH13-AF13</f>
        <v/>
      </c>
      <c r="AJ13" s="100">
        <f>IF(AF13=0,"",AI13/AF13)</f>
        <v/>
      </c>
      <c r="AK13" s="101">
        <f>IF(AJ13="","",IF(AJ13&gt;=0.15,"STRONG",IF(AJ13&gt;=0.1,"FILE",IF(AJ13&gt;=0.07,"INVESTIGATE","PASS"))))</f>
        <v/>
      </c>
    </row>
    <row r="14" ht="15" customHeight="1" s="57">
      <c r="A14" s="89" t="inlineStr">
        <is>
          <t>99 East 5th Street</t>
        </is>
      </c>
      <c r="B14" s="63" t="inlineStr">
        <is>
          <t>Douglas</t>
        </is>
      </c>
      <c r="C14" s="63" t="inlineStr">
        <is>
          <t>AZ</t>
        </is>
      </c>
      <c r="D14" s="90" t="n">
        <v>85607</v>
      </c>
      <c r="E14" s="91" t="inlineStr">
        <is>
          <t>Pontus BK Portfolio, LLC</t>
        </is>
      </c>
      <c r="F14" s="63" t="inlineStr">
        <is>
          <t>BK99</t>
        </is>
      </c>
      <c r="G14" s="91" t="inlineStr">
        <is>
          <t>409-09-081D0</t>
        </is>
      </c>
      <c r="H14" s="63" t="n">
        <v>2</v>
      </c>
      <c r="J14" s="65" t="n">
        <v>46143</v>
      </c>
      <c r="K14" s="103" t="n">
        <v>46327</v>
      </c>
      <c r="N14" s="65" t="n"/>
      <c r="O14" s="63" t="inlineStr">
        <is>
          <t>KRAF</t>
        </is>
      </c>
      <c r="P14" s="63" t="inlineStr">
        <is>
          <t>Cochise County</t>
        </is>
      </c>
      <c r="Q14" s="63" t="n">
        <v>5204328400</v>
      </c>
      <c r="R14" s="102" t="inlineStr">
        <is>
          <t>https://parcelinquirytreasurer.cochise.az.gov/Parcel/PaymentHistory?parcelNumber=40909081D0&amp;taxYear=2024</t>
        </is>
      </c>
      <c r="S14" s="95" t="n">
        <v>0</v>
      </c>
      <c r="T14" s="96" t="n"/>
      <c r="U14" s="97" t="inlineStr">
        <is>
          <t>2025-11-23</t>
        </is>
      </c>
      <c r="V14" s="95" t="n">
        <v>24837</v>
      </c>
      <c r="W14" s="97" t="inlineStr">
        <is>
          <t>2026-11-18</t>
        </is>
      </c>
      <c r="X14" s="98" t="inlineStr">
        <is>
          <t>https://parcelinquirytreasurer.cochise.az.gov/Parcel/PaymentHistory?parcelNumber=40909081D0&amp;taxYear=2024</t>
        </is>
      </c>
      <c r="Y14" s="98" t="inlineStr">
        <is>
          <t>https://example.com/x/property-14</t>
        </is>
      </c>
      <c r="Z14" s="98" t="n"/>
      <c r="AA14" s="98" t="inlineStr">
        <is>
          <t>TBD — replace with broker name + date</t>
        </is>
      </c>
      <c r="AB14" s="99" t="n">
        <v>1672000</v>
      </c>
      <c r="AC14" s="99" t="n">
        <v>1454000</v>
      </c>
      <c r="AD14" s="99" t="n">
        <v>1235000</v>
      </c>
      <c r="AE14" s="99" t="n">
        <v>1632000</v>
      </c>
      <c r="AF14" s="99" t="n">
        <v>1457000</v>
      </c>
      <c r="AG14" s="99" t="n">
        <v>1211000</v>
      </c>
      <c r="AH14" s="99" t="n">
        <v>1571000</v>
      </c>
      <c r="AI14" s="99">
        <f>AH14-AF14</f>
        <v/>
      </c>
      <c r="AJ14" s="100">
        <f>IF(AF14=0,"",AI14/AF14)</f>
        <v/>
      </c>
      <c r="AK14" s="101">
        <f>IF(AJ14="","",IF(AJ14&gt;=0.15,"STRONG",IF(AJ14&gt;=0.1,"FILE",IF(AJ14&gt;=0.07,"INVESTIGATE","PASS"))))</f>
        <v/>
      </c>
    </row>
    <row r="15" ht="15" customHeight="1" s="57">
      <c r="A15" s="89" t="inlineStr">
        <is>
          <t>3485 Ajo Way</t>
        </is>
      </c>
      <c r="B15" s="63" t="inlineStr">
        <is>
          <t>Valencia</t>
        </is>
      </c>
      <c r="C15" s="63" t="inlineStr">
        <is>
          <t>AZ</t>
        </is>
      </c>
      <c r="D15" s="90" t="n">
        <v>85713</v>
      </c>
      <c r="E15" s="91" t="inlineStr">
        <is>
          <t>Pontus BK Portfolio, LLC</t>
        </is>
      </c>
      <c r="F15" s="63" t="inlineStr">
        <is>
          <t>BK3485</t>
        </is>
      </c>
      <c r="G15" s="91" t="inlineStr">
        <is>
          <t>13204211C</t>
        </is>
      </c>
      <c r="H15" s="63" t="n">
        <v>2</v>
      </c>
      <c r="J15" s="65" t="n">
        <v>46143</v>
      </c>
      <c r="K15" s="103" t="n">
        <v>46327</v>
      </c>
      <c r="N15" s="65" t="n"/>
      <c r="O15" s="63" t="inlineStr">
        <is>
          <t>KRAF</t>
        </is>
      </c>
      <c r="P15" s="63" t="inlineStr">
        <is>
          <t>Pima County</t>
        </is>
      </c>
      <c r="Q15" s="63" t="n">
        <v>5207248341</v>
      </c>
      <c r="R15" s="102" t="inlineStr">
        <is>
          <t>http://www.to.pima.gov/</t>
        </is>
      </c>
      <c r="S15" s="95" t="n">
        <v>0</v>
      </c>
      <c r="T15" s="96" t="n"/>
      <c r="U15" s="97" t="inlineStr">
        <is>
          <t>2025-11-13</t>
        </is>
      </c>
      <c r="V15" s="95" t="n">
        <v>24797</v>
      </c>
      <c r="W15" s="97" t="inlineStr">
        <is>
          <t>2026-12-11</t>
        </is>
      </c>
      <c r="X15" s="98" t="inlineStr">
        <is>
          <t>http://www.to.pima.gov/</t>
        </is>
      </c>
      <c r="Y15" s="98" t="n"/>
      <c r="Z15" s="98" t="n"/>
      <c r="AA15" s="98" t="inlineStr">
        <is>
          <t>TBD — replace with broker name + date</t>
        </is>
      </c>
      <c r="AB15" s="99" t="n">
        <v>4703000</v>
      </c>
      <c r="AC15" s="99" t="n">
        <v>4090000</v>
      </c>
      <c r="AD15" s="99" t="n">
        <v>3476000</v>
      </c>
      <c r="AE15" s="99" t="n">
        <v>4664000</v>
      </c>
      <c r="AF15" s="99" t="n">
        <v>4072000</v>
      </c>
      <c r="AG15" s="99" t="n">
        <v>3545000</v>
      </c>
      <c r="AH15" s="99" t="n">
        <v>4172000</v>
      </c>
      <c r="AI15" s="99">
        <f>AH15-AF15</f>
        <v/>
      </c>
      <c r="AJ15" s="100">
        <f>IF(AF15=0,"",AI15/AF15)</f>
        <v/>
      </c>
      <c r="AK15" s="101">
        <f>IF(AJ15="","",IF(AJ15&gt;=0.15,"STRONG",IF(AJ15&gt;=0.1,"FILE",IF(AJ15&gt;=0.07,"INVESTIGATE","PASS"))))</f>
        <v/>
      </c>
    </row>
    <row r="16" ht="15" customHeight="1" s="57">
      <c r="A16" s="89" t="inlineStr">
        <is>
          <t>10420 Research Rd. SE</t>
        </is>
      </c>
      <c r="B16" s="63" t="inlineStr">
        <is>
          <t>Albuquerque</t>
        </is>
      </c>
      <c r="C16" s="63" t="inlineStr">
        <is>
          <t>NM</t>
        </is>
      </c>
      <c r="D16" s="90" t="n">
        <v>87123</v>
      </c>
      <c r="E16" s="91" t="inlineStr">
        <is>
          <t>Pontus ST Albuquerque, LLC</t>
        </is>
      </c>
      <c r="F16" s="63" t="inlineStr">
        <is>
          <t>ST10420</t>
        </is>
      </c>
      <c r="G16" s="91" t="inlineStr">
        <is>
          <t>1 021 055 050 415 20166</t>
        </is>
      </c>
      <c r="H16" s="63" t="n">
        <v>2</v>
      </c>
      <c r="J16" s="65" t="n">
        <v>46152</v>
      </c>
      <c r="K16" s="103" t="n">
        <v>46366</v>
      </c>
      <c r="N16" s="65" t="n"/>
      <c r="O16" s="63" t="inlineStr">
        <is>
          <t>SolAero</t>
        </is>
      </c>
      <c r="P16" s="63" t="inlineStr">
        <is>
          <t>Bernalillo County</t>
        </is>
      </c>
      <c r="Q16" s="63" t="inlineStr">
        <is>
          <t>(505) 468-7031</t>
        </is>
      </c>
      <c r="R16" s="102" t="inlineStr">
        <is>
          <t>https://www.bernco.gov/treasurer/paying-your-property-taxes-overview/</t>
        </is>
      </c>
      <c r="S16" s="95" t="n">
        <v>0</v>
      </c>
      <c r="T16" s="96" t="n"/>
      <c r="U16" s="97" t="inlineStr">
        <is>
          <t>2025-11-24</t>
        </is>
      </c>
      <c r="V16" s="95" t="n">
        <v>20212</v>
      </c>
      <c r="W16" s="97" t="inlineStr">
        <is>
          <t>2026-11-27</t>
        </is>
      </c>
      <c r="X16" s="98" t="inlineStr">
        <is>
          <t>https://www.bernco.gov/treasurer/paying-your-property-taxes-overview/</t>
        </is>
      </c>
      <c r="Y16" s="98" t="n"/>
      <c r="Z16" s="98" t="n"/>
      <c r="AA16" s="98" t="inlineStr">
        <is>
          <t>TBD — replace with broker name + date</t>
        </is>
      </c>
      <c r="AB16" s="99" t="n">
        <v>2130000</v>
      </c>
      <c r="AC16" s="99" t="n">
        <v>1853000</v>
      </c>
      <c r="AD16" s="99" t="n">
        <v>1575000</v>
      </c>
      <c r="AE16" s="99" t="n">
        <v>2084000</v>
      </c>
      <c r="AF16" s="99" t="n">
        <v>1858000</v>
      </c>
      <c r="AG16" s="99" t="n">
        <v>1577000</v>
      </c>
      <c r="AH16" s="99" t="n">
        <v>2224000</v>
      </c>
      <c r="AI16" s="99">
        <f>AH16-AF16</f>
        <v/>
      </c>
      <c r="AJ16" s="100">
        <f>IF(AF16=0,"",AI16/AF16)</f>
        <v/>
      </c>
      <c r="AK16" s="101">
        <f>IF(AJ16="","",IF(AJ16&gt;=0.15,"STRONG",IF(AJ16&gt;=0.1,"FILE",IF(AJ16&gt;=0.07,"INVESTIGATE","PASS"))))</f>
        <v/>
      </c>
    </row>
    <row r="17" ht="15" customHeight="1" s="57">
      <c r="A17" s="89" t="inlineStr">
        <is>
          <t>6740 Shady Oak Lane</t>
        </is>
      </c>
      <c r="B17" s="63" t="inlineStr">
        <is>
          <t>Eden Prairie</t>
        </is>
      </c>
      <c r="C17" s="63" t="inlineStr">
        <is>
          <t>MN</t>
        </is>
      </c>
      <c r="D17" s="90" t="n">
        <v>55344</v>
      </c>
      <c r="E17" s="91" t="inlineStr">
        <is>
          <t>Pontus IMB Portfolio, LLC</t>
        </is>
      </c>
      <c r="F17" s="63" t="inlineStr">
        <is>
          <t>IMB6740</t>
        </is>
      </c>
      <c r="G17" s="105" t="inlineStr">
        <is>
          <t>0111622340022</t>
        </is>
      </c>
      <c r="H17" s="63" t="n">
        <v>2</v>
      </c>
      <c r="J17" s="65" t="n">
        <v>46157</v>
      </c>
      <c r="K17" s="65" t="n">
        <v>46310</v>
      </c>
      <c r="N17" s="65" t="n"/>
      <c r="O17" s="63" t="inlineStr">
        <is>
          <t>Pontus</t>
        </is>
      </c>
      <c r="P17" s="63" t="inlineStr">
        <is>
          <t>Hennepin County</t>
        </is>
      </c>
      <c r="R17" s="102" t="inlineStr">
        <is>
          <t>https://www.hennepin.us/propertytaxpayments/</t>
        </is>
      </c>
      <c r="S17" s="95" t="n">
        <v>0</v>
      </c>
      <c r="T17" s="96" t="n"/>
      <c r="U17" s="97" t="inlineStr">
        <is>
          <t>2025-11-16</t>
        </is>
      </c>
      <c r="V17" s="95" t="n">
        <v>7621</v>
      </c>
      <c r="W17" s="97" t="inlineStr">
        <is>
          <t>2026-11-19</t>
        </is>
      </c>
      <c r="X17" s="98" t="inlineStr">
        <is>
          <t>https://www.hennepin.us/propertytaxpayments/</t>
        </is>
      </c>
      <c r="Y17" s="98" t="n"/>
      <c r="Z17" s="98" t="n"/>
      <c r="AA17" s="98" t="inlineStr">
        <is>
          <t>TBD — replace with broker name + date</t>
        </is>
      </c>
      <c r="AB17" s="99" t="n">
        <v>4202000</v>
      </c>
      <c r="AC17" s="99" t="n">
        <v>3654000</v>
      </c>
      <c r="AD17" s="99" t="n">
        <v>3105000</v>
      </c>
      <c r="AE17" s="99" t="n">
        <v>4202000</v>
      </c>
      <c r="AF17" s="99" t="n">
        <v>3675000</v>
      </c>
      <c r="AG17" s="99" t="n">
        <v>3188000</v>
      </c>
      <c r="AH17" s="99" t="n">
        <v>4093000</v>
      </c>
      <c r="AI17" s="99">
        <f>AH17-AF17</f>
        <v/>
      </c>
      <c r="AJ17" s="100">
        <f>IF(AF17=0,"",AI17/AF17)</f>
        <v/>
      </c>
      <c r="AK17" s="101">
        <f>IF(AJ17="","",IF(AJ17&gt;=0.15,"STRONG",IF(AJ17&gt;=0.1,"FILE",IF(AJ17&gt;=0.07,"INVESTIGATE","PASS"))))</f>
        <v/>
      </c>
    </row>
    <row r="18" ht="15" customHeight="1" s="57">
      <c r="A18" s="89" t="inlineStr">
        <is>
          <t xml:space="preserve"> 1330 Old Country Rd</t>
        </is>
      </c>
      <c r="B18" s="63" t="inlineStr">
        <is>
          <t>Riverhead</t>
        </is>
      </c>
      <c r="C18" s="63" t="inlineStr">
        <is>
          <t>NY</t>
        </is>
      </c>
      <c r="D18" s="90" t="n">
        <v>11901</v>
      </c>
      <c r="E18" s="91" t="inlineStr">
        <is>
          <t>Pontus DC Riverhead, LLC</t>
        </is>
      </c>
      <c r="F18" s="63" t="inlineStr">
        <is>
          <t>DC1330</t>
        </is>
      </c>
      <c r="G18" s="91" t="n">
        <v>11982</v>
      </c>
      <c r="H18" s="63" t="n">
        <v>2</v>
      </c>
      <c r="J18" s="65" t="n">
        <v>46175</v>
      </c>
      <c r="K18" s="65" t="n">
        <v>46397</v>
      </c>
      <c r="N18" s="65" t="n"/>
      <c r="O18" s="63" t="inlineStr">
        <is>
          <t>Dennis</t>
        </is>
      </c>
      <c r="P18" s="63" t="inlineStr">
        <is>
          <t>Town of Riverhead</t>
        </is>
      </c>
      <c r="R18" s="102" t="inlineStr">
        <is>
          <t>https://tax.egov.basgov.com/riverhead/TaxBill/BillDetailsPaymentOptions?TaxBillID=93938c45-39ac-ef11-9968-509a4c486007</t>
        </is>
      </c>
      <c r="S18" s="95" t="n">
        <v>0</v>
      </c>
      <c r="T18" s="96" t="n"/>
      <c r="U18" s="97" t="inlineStr">
        <is>
          <t>2025-12-28</t>
        </is>
      </c>
      <c r="V18" s="95" t="n">
        <v>20651</v>
      </c>
      <c r="W18" s="97" t="inlineStr">
        <is>
          <t>2026-12-16</t>
        </is>
      </c>
      <c r="X18" s="98" t="inlineStr">
        <is>
          <t>https://tax.egov.basgov.com/riverhead/TaxBill/BillDetailsPaymentOptions?TaxBillID=93938c45-39ac-ef11-9968-509a4c486007</t>
        </is>
      </c>
      <c r="Y18" s="98" t="n"/>
      <c r="Z18" s="98" t="n"/>
      <c r="AA18" s="98" t="inlineStr">
        <is>
          <t>TBD — replace with broker name + date</t>
        </is>
      </c>
      <c r="AB18" s="99" t="n">
        <v>2980000</v>
      </c>
      <c r="AC18" s="99" t="n">
        <v>2592000</v>
      </c>
      <c r="AD18" s="99" t="n">
        <v>2203000</v>
      </c>
      <c r="AE18" s="99" t="n">
        <v>3059000</v>
      </c>
      <c r="AF18" s="99" t="n">
        <v>2654000</v>
      </c>
      <c r="AG18" s="99" t="n">
        <v>2209000</v>
      </c>
      <c r="AH18" s="99" t="n">
        <v>2800000</v>
      </c>
      <c r="AI18" s="99">
        <f>AH18-AF18</f>
        <v/>
      </c>
      <c r="AJ18" s="100">
        <f>IF(AF18=0,"",AI18/AF18)</f>
        <v/>
      </c>
      <c r="AK18" s="101">
        <f>IF(AJ18="","",IF(AJ18&gt;=0.15,"STRONG",IF(AJ18&gt;=0.1,"FILE",IF(AJ18&gt;=0.07,"INVESTIGATE","PASS"))))</f>
        <v/>
      </c>
    </row>
    <row r="19" ht="15" customHeight="1" s="57">
      <c r="A19" s="89" t="inlineStr">
        <is>
          <t xml:space="preserve"> 1320 Old Country Rd</t>
        </is>
      </c>
      <c r="B19" s="63" t="inlineStr">
        <is>
          <t>Riverhead</t>
        </is>
      </c>
      <c r="C19" s="63" t="inlineStr">
        <is>
          <t>NY</t>
        </is>
      </c>
      <c r="D19" s="90" t="n">
        <v>11901</v>
      </c>
      <c r="E19" s="91" t="inlineStr">
        <is>
          <t>Pontus DC Riverhead, LLC</t>
        </is>
      </c>
      <c r="F19" s="63" t="inlineStr">
        <is>
          <t>DC1320</t>
        </is>
      </c>
      <c r="G19" s="91" t="n">
        <v>11982</v>
      </c>
      <c r="J19" s="65" t="n">
        <v>46175</v>
      </c>
      <c r="K19" s="65" t="n">
        <v>46397</v>
      </c>
      <c r="N19" s="65" t="n"/>
      <c r="O19" s="63" t="inlineStr">
        <is>
          <t>Dennis</t>
        </is>
      </c>
      <c r="P19" s="63" t="inlineStr">
        <is>
          <t>Town of Riverhead</t>
        </is>
      </c>
      <c r="R19" s="102" t="inlineStr">
        <is>
          <t>https://tax.egov.basgov.com/riverhead/TaxBill/BillDetailsPaymentOptions?TaxBillID=93938c45-39ac-ef11-9968-509a4c486007</t>
        </is>
      </c>
      <c r="S19" s="95" t="n">
        <v>0</v>
      </c>
      <c r="T19" s="96" t="n"/>
      <c r="U19" s="97" t="inlineStr">
        <is>
          <t>2025-11-19</t>
        </is>
      </c>
      <c r="V19" s="95" t="n">
        <v>11128</v>
      </c>
      <c r="W19" s="97" t="inlineStr">
        <is>
          <t>2026-11-22</t>
        </is>
      </c>
      <c r="X19" s="98" t="inlineStr">
        <is>
          <t>https://tax.egov.basgov.com/riverhead/TaxBill/BillDetailsPaymentOptions?TaxBillID=93938c45-39ac-ef11-9968-509a4c486007</t>
        </is>
      </c>
      <c r="Y19" s="98" t="n"/>
      <c r="Z19" s="98" t="n"/>
      <c r="AA19" s="98" t="inlineStr">
        <is>
          <t>TBD — replace with broker name + date</t>
        </is>
      </c>
      <c r="AB19" s="99" t="n">
        <v>3362000</v>
      </c>
      <c r="AC19" s="99" t="n">
        <v>2924000</v>
      </c>
      <c r="AD19" s="99" t="n">
        <v>2485000</v>
      </c>
      <c r="AE19" s="99" t="n">
        <v>3261000</v>
      </c>
      <c r="AF19" s="99" t="n">
        <v>2923000</v>
      </c>
      <c r="AG19" s="99" t="n">
        <v>2463000</v>
      </c>
      <c r="AH19" s="99" t="n">
        <v>2983000</v>
      </c>
      <c r="AI19" s="99">
        <f>AH19-AF19</f>
        <v/>
      </c>
      <c r="AJ19" s="100">
        <f>IF(AF19=0,"",AI19/AF19)</f>
        <v/>
      </c>
      <c r="AK19" s="101">
        <f>IF(AJ19="","",IF(AJ19&gt;=0.15,"STRONG",IF(AJ19&gt;=0.1,"FILE",IF(AJ19&gt;=0.07,"INVESTIGATE","PASS"))))</f>
        <v/>
      </c>
    </row>
    <row r="20" ht="15" customHeight="1" s="57">
      <c r="A20" s="89" t="inlineStr">
        <is>
          <t>4023 W Hundred Rd</t>
        </is>
      </c>
      <c r="B20" s="63" t="inlineStr">
        <is>
          <t>Chester</t>
        </is>
      </c>
      <c r="C20" s="63" t="inlineStr">
        <is>
          <t>VA</t>
        </is>
      </c>
      <c r="D20" s="90" t="n">
        <v>23831</v>
      </c>
      <c r="E20" s="91" t="inlineStr">
        <is>
          <t>Pontus Vault Portfolio, LLC</t>
        </is>
      </c>
      <c r="F20" s="63" t="inlineStr">
        <is>
          <t>VP4023</t>
        </is>
      </c>
      <c r="G20" s="91" t="n">
        <v>112208</v>
      </c>
      <c r="H20" s="63" t="n">
        <v>2</v>
      </c>
      <c r="J20" s="65" t="n">
        <v>46178</v>
      </c>
      <c r="K20" s="103" t="n">
        <v>46361</v>
      </c>
      <c r="N20" s="65" t="n"/>
      <c r="O20" s="63" t="inlineStr">
        <is>
          <t>Pontus</t>
        </is>
      </c>
      <c r="P20" s="63" t="inlineStr">
        <is>
          <t>Chesterfield County</t>
        </is>
      </c>
      <c r="Q20" s="63" t="n">
        <v>8047481201</v>
      </c>
      <c r="R20" s="102" t="inlineStr">
        <is>
          <t>https://chesterfield.virginiainteractive.org/Treasurer/Main</t>
        </is>
      </c>
      <c r="S20" s="95" t="n">
        <v>0</v>
      </c>
      <c r="T20" s="96" t="n"/>
      <c r="U20" s="97" t="inlineStr">
        <is>
          <t>2025-11-12</t>
        </is>
      </c>
      <c r="V20" s="95" t="n">
        <v>3828</v>
      </c>
      <c r="W20" s="97" t="inlineStr">
        <is>
          <t>2026-12-21</t>
        </is>
      </c>
      <c r="X20" s="98" t="inlineStr">
        <is>
          <t>https://chesterfield.virginiainteractive.org/Treasurer/Main</t>
        </is>
      </c>
      <c r="Y20" s="98" t="n"/>
      <c r="Z20" s="98" t="n"/>
      <c r="AA20" s="98" t="inlineStr">
        <is>
          <t>TBD — replace with broker name + date</t>
        </is>
      </c>
      <c r="AB20" s="99" t="n">
        <v>946000</v>
      </c>
      <c r="AC20" s="99" t="n">
        <v>823000</v>
      </c>
      <c r="AD20" s="99" t="n">
        <v>699000</v>
      </c>
      <c r="AE20" s="99" t="n">
        <v>956000</v>
      </c>
      <c r="AF20" s="99" t="n">
        <v>829000</v>
      </c>
      <c r="AG20" s="99" t="n">
        <v>680000</v>
      </c>
      <c r="AH20" s="99" t="n">
        <v>988000</v>
      </c>
      <c r="AI20" s="99">
        <f>AH20-AF20</f>
        <v/>
      </c>
      <c r="AJ20" s="100">
        <f>IF(AF20=0,"",AI20/AF20)</f>
        <v/>
      </c>
      <c r="AK20" s="101">
        <f>IF(AJ20="","",IF(AJ20&gt;=0.15,"STRONG",IF(AJ20&gt;=0.1,"FILE",IF(AJ20&gt;=0.07,"INVESTIGATE","PASS"))))</f>
        <v/>
      </c>
    </row>
    <row r="21" ht="15" customHeight="1" s="57">
      <c r="A21" s="89" t="inlineStr">
        <is>
          <t>2993 Shore Dr</t>
        </is>
      </c>
      <c r="B21" s="63" t="inlineStr">
        <is>
          <t>Virginia Beach</t>
        </is>
      </c>
      <c r="C21" s="63" t="inlineStr">
        <is>
          <t>VA</t>
        </is>
      </c>
      <c r="D21" s="90" t="n">
        <v>23451</v>
      </c>
      <c r="E21" s="91" t="inlineStr">
        <is>
          <t>Pontus Vault Portfolio, LLC</t>
        </is>
      </c>
      <c r="F21" s="63" t="inlineStr">
        <is>
          <t>VP2993</t>
        </is>
      </c>
      <c r="G21" s="91" t="n">
        <v>14991959880000</v>
      </c>
      <c r="H21" s="63" t="n">
        <v>2</v>
      </c>
      <c r="J21" s="65" t="n">
        <v>46178</v>
      </c>
      <c r="K21" s="103" t="n">
        <v>46361</v>
      </c>
      <c r="N21" s="65" t="n"/>
      <c r="O21" s="63" t="inlineStr">
        <is>
          <t>Pontus</t>
        </is>
      </c>
      <c r="P21" s="63" t="inlineStr">
        <is>
          <t>City of Virginia Beach</t>
        </is>
      </c>
      <c r="Q21" s="63" t="n">
        <v>7573854445</v>
      </c>
      <c r="R21" s="102" t="inlineStr">
        <is>
          <t>https://pay.vbepay.com/Citizen/ViewAccount/364817</t>
        </is>
      </c>
      <c r="S21" s="95" t="n">
        <v>0</v>
      </c>
      <c r="T21" s="96" t="n"/>
      <c r="U21" s="97" t="inlineStr">
        <is>
          <t>2025-11-15</t>
        </is>
      </c>
      <c r="V21" s="95" t="n">
        <v>6574</v>
      </c>
      <c r="W21" s="97" t="inlineStr">
        <is>
          <t>2026-11-18</t>
        </is>
      </c>
      <c r="X21" s="98" t="inlineStr">
        <is>
          <t>https://pay.vbepay.com/Citizen/ViewAccount/364817</t>
        </is>
      </c>
      <c r="Y21" s="98" t="inlineStr">
        <is>
          <t>https://example.com/x/property-21</t>
        </is>
      </c>
      <c r="Z21" s="98" t="n"/>
      <c r="AA21" s="98" t="inlineStr">
        <is>
          <t>TBD — replace with broker name + date</t>
        </is>
      </c>
      <c r="AB21" s="99" t="n">
        <v>1427000</v>
      </c>
      <c r="AC21" s="99" t="n">
        <v>1241000</v>
      </c>
      <c r="AD21" s="99" t="n">
        <v>1054000</v>
      </c>
      <c r="AE21" s="99" t="n">
        <v>1448000</v>
      </c>
      <c r="AF21" s="99" t="n">
        <v>1256000</v>
      </c>
      <c r="AG21" s="99" t="n">
        <v>1034000</v>
      </c>
      <c r="AH21" s="99" t="n">
        <v>1391000</v>
      </c>
      <c r="AI21" s="99">
        <f>AH21-AF21</f>
        <v/>
      </c>
      <c r="AJ21" s="100">
        <f>IF(AF21=0,"",AI21/AF21)</f>
        <v/>
      </c>
      <c r="AK21" s="101">
        <f>IF(AJ21="","",IF(AJ21&gt;=0.15,"STRONG",IF(AJ21&gt;=0.1,"FILE",IF(AJ21&gt;=0.07,"INVESTIGATE","PASS"))))</f>
        <v/>
      </c>
    </row>
    <row r="22" ht="15" customHeight="1" s="57">
      <c r="A22" s="89" t="inlineStr">
        <is>
          <t>287 Holland Road</t>
        </is>
      </c>
      <c r="B22" s="63" t="inlineStr">
        <is>
          <t>Holland</t>
        </is>
      </c>
      <c r="C22" s="63" t="inlineStr">
        <is>
          <t>PA</t>
        </is>
      </c>
      <c r="D22" s="90" t="n">
        <v>18966</v>
      </c>
      <c r="E22" s="91" t="inlineStr">
        <is>
          <t>PC Shell, LLC</t>
        </is>
      </c>
      <c r="F22" s="63" t="inlineStr">
        <is>
          <t>SH287</t>
        </is>
      </c>
      <c r="G22" s="91" t="n"/>
      <c r="J22" s="65" t="n">
        <v>46203</v>
      </c>
      <c r="K22" s="65" t="n">
        <v>46326</v>
      </c>
      <c r="N22" s="65" t="n"/>
      <c r="O22" s="63" t="inlineStr">
        <is>
          <t>Suki</t>
        </is>
      </c>
      <c r="S22" s="95" t="n">
        <v>0</v>
      </c>
      <c r="T22" s="96" t="n"/>
      <c r="U22" s="97" t="inlineStr">
        <is>
          <t>2025-11-13</t>
        </is>
      </c>
      <c r="V22" s="95" t="n">
        <v>3487</v>
      </c>
      <c r="W22" s="97" t="inlineStr">
        <is>
          <t>2026-12-16</t>
        </is>
      </c>
      <c r="X22" s="98" t="inlineStr">
        <is>
          <t>https://example.com/w/property-22</t>
        </is>
      </c>
      <c r="Y22" s="98" t="n"/>
      <c r="Z22" s="98" t="inlineStr">
        <is>
          <t>https://example.com/y/property-22</t>
        </is>
      </c>
      <c r="AA22" s="98" t="inlineStr">
        <is>
          <t>TBD — replace with broker name + date</t>
        </is>
      </c>
      <c r="AB22" s="99" t="n">
        <v>1788000</v>
      </c>
      <c r="AC22" s="99" t="n">
        <v>1555000</v>
      </c>
      <c r="AD22" s="99" t="n">
        <v>1321000</v>
      </c>
      <c r="AE22" s="99" t="n">
        <v>1834000</v>
      </c>
      <c r="AF22" s="99" t="n">
        <v>1529000</v>
      </c>
      <c r="AG22" s="99" t="n">
        <v>1338000</v>
      </c>
      <c r="AH22" s="99" t="n">
        <v>1680000</v>
      </c>
      <c r="AI22" s="99">
        <f>AH22-AF22</f>
        <v/>
      </c>
      <c r="AJ22" s="100">
        <f>IF(AF22=0,"",AI22/AF22)</f>
        <v/>
      </c>
      <c r="AK22" s="101">
        <f>IF(AJ22="","",IF(AJ22&gt;=0.15,"STRONG",IF(AJ22&gt;=0.1,"FILE",IF(AJ22&gt;=0.07,"INVESTIGATE","PASS"))))</f>
        <v/>
      </c>
    </row>
    <row r="23" ht="15" customHeight="1" s="57">
      <c r="A23" s="89" t="inlineStr">
        <is>
          <t>3880 LaVista Rd</t>
        </is>
      </c>
      <c r="B23" s="63" t="inlineStr">
        <is>
          <t>Tucker</t>
        </is>
      </c>
      <c r="C23" s="63" t="inlineStr">
        <is>
          <t>GA</t>
        </is>
      </c>
      <c r="D23" s="90" t="n">
        <v>30084</v>
      </c>
      <c r="E23" s="91" t="inlineStr">
        <is>
          <t>Pontus Vault Portfolio, LLC</t>
        </is>
      </c>
      <c r="F23" s="63" t="inlineStr">
        <is>
          <t>VP3880</t>
        </is>
      </c>
      <c r="G23" s="91" t="inlineStr">
        <is>
          <t>18-190-01-013</t>
        </is>
      </c>
      <c r="H23" s="63" t="n">
        <v>2</v>
      </c>
      <c r="J23" s="65" t="n">
        <v>46295</v>
      </c>
      <c r="K23" s="65" t="n">
        <v>46341</v>
      </c>
      <c r="O23" s="63" t="inlineStr">
        <is>
          <t>Regions Bank</t>
        </is>
      </c>
      <c r="P23" s="63" t="inlineStr">
        <is>
          <t>Dekalb County</t>
        </is>
      </c>
      <c r="Q23" s="63" t="n">
        <v>4042984000</v>
      </c>
      <c r="R23" s="102" t="inlineStr">
        <is>
          <t>https://publicaccess.dekalbtax.org/Datalets/Datalet.aspx?sIndex=2&amp;idx=1</t>
        </is>
      </c>
      <c r="S23" s="95" t="n">
        <v>0</v>
      </c>
      <c r="T23" s="96" t="n"/>
      <c r="U23" s="97" t="inlineStr">
        <is>
          <t>2025-12-10</t>
        </is>
      </c>
      <c r="V23" s="95" t="n">
        <v>14990</v>
      </c>
      <c r="W23" s="97" t="inlineStr">
        <is>
          <t>2026-11-11</t>
        </is>
      </c>
      <c r="X23" s="98" t="inlineStr">
        <is>
          <t>https://publicaccess.dekalbtax.org/Datalets/Datalet.aspx?sIndex=2&amp;idx=1</t>
        </is>
      </c>
      <c r="Y23" s="98" t="n"/>
      <c r="Z23" s="98" t="n"/>
      <c r="AA23" s="98" t="inlineStr">
        <is>
          <t>TBD — replace with broker name + date</t>
        </is>
      </c>
      <c r="AB23" s="99" t="n">
        <v>2650000</v>
      </c>
      <c r="AC23" s="99" t="n">
        <v>2305000</v>
      </c>
      <c r="AD23" s="99" t="n">
        <v>1959000</v>
      </c>
      <c r="AE23" s="99" t="n">
        <v>2600000</v>
      </c>
      <c r="AF23" s="99" t="n">
        <v>2363000</v>
      </c>
      <c r="AG23" s="99" t="n">
        <v>1905000</v>
      </c>
      <c r="AH23" s="99" t="n">
        <v>2352000</v>
      </c>
      <c r="AI23" s="99">
        <f>AH23-AF23</f>
        <v/>
      </c>
      <c r="AJ23" s="100">
        <f>IF(AF23=0,"",AI23/AF23)</f>
        <v/>
      </c>
      <c r="AK23" s="101">
        <f>IF(AJ23="","",IF(AJ23&gt;=0.15,"STRONG",IF(AJ23&gt;=0.1,"FILE",IF(AJ23&gt;=0.07,"INVESTIGATE","PASS"))))</f>
        <v/>
      </c>
    </row>
    <row r="24" ht="15" customHeight="1" s="57">
      <c r="A24" s="89" t="inlineStr">
        <is>
          <t>3805 Macon Rd</t>
        </is>
      </c>
      <c r="B24" s="63" t="inlineStr">
        <is>
          <t>Columbus</t>
        </is>
      </c>
      <c r="C24" s="63" t="inlineStr">
        <is>
          <t>GA</t>
        </is>
      </c>
      <c r="D24" s="90" t="n">
        <v>31907</v>
      </c>
      <c r="E24" s="91" t="inlineStr">
        <is>
          <t>Pontus Vault Portfolio, LLC</t>
        </is>
      </c>
      <c r="F24" s="63" t="inlineStr">
        <is>
          <t>VP3805</t>
        </is>
      </c>
      <c r="G24" s="91" t="inlineStr">
        <is>
          <t>085 008 002</t>
        </is>
      </c>
      <c r="H24" s="63" t="n">
        <v>2</v>
      </c>
      <c r="J24" s="65" t="n">
        <v>46296</v>
      </c>
      <c r="K24" s="65" t="n">
        <v>46358</v>
      </c>
      <c r="N24" s="65" t="n"/>
      <c r="O24" s="63" t="inlineStr">
        <is>
          <t>Pontus</t>
        </is>
      </c>
      <c r="P24" s="63" t="inlineStr">
        <is>
          <t>Muscogee County</t>
        </is>
      </c>
      <c r="Q24" s="63" t="n">
        <v>7066534211</v>
      </c>
      <c r="R24" s="102" t="inlineStr">
        <is>
          <t>https://muscogeecountyga.governmentwindow.com/select_bill.html?search_mode=search2&amp;tax_year=2018&amp;name=&amp;map_code=085+008+002&amp;address=</t>
        </is>
      </c>
      <c r="S24" s="95" t="n">
        <v>0</v>
      </c>
      <c r="T24" s="96" t="n"/>
      <c r="U24" s="97" t="inlineStr">
        <is>
          <t>2025-11-22</t>
        </is>
      </c>
      <c r="V24" s="95" t="n">
        <v>16930</v>
      </c>
      <c r="W24" s="97" t="inlineStr">
        <is>
          <t>2026-12-11</t>
        </is>
      </c>
      <c r="X24" s="98" t="inlineStr">
        <is>
          <t>https://muscogeecountyga.governmentwindow.com/select_bill.html?search_mode=search2&amp;tax_year=2018&amp;name=&amp;map_code=085+008+002&amp;address=</t>
        </is>
      </c>
      <c r="Y24" s="98" t="n"/>
      <c r="Z24" s="98" t="n"/>
      <c r="AA24" s="98" t="inlineStr">
        <is>
          <t>TBD — replace with broker name + date</t>
        </is>
      </c>
      <c r="AB24" s="99" t="n">
        <v>3514000</v>
      </c>
      <c r="AC24" s="99" t="n">
        <v>3056000</v>
      </c>
      <c r="AD24" s="99" t="n">
        <v>2597000</v>
      </c>
      <c r="AE24" s="99" t="n">
        <v>3471000</v>
      </c>
      <c r="AF24" s="99" t="n">
        <v>3007000</v>
      </c>
      <c r="AG24" s="99" t="n">
        <v>2670000</v>
      </c>
      <c r="AH24" s="99" t="n">
        <v>3668000</v>
      </c>
      <c r="AI24" s="99">
        <f>AH24-AF24</f>
        <v/>
      </c>
      <c r="AJ24" s="100">
        <f>IF(AF24=0,"",AI24/AF24)</f>
        <v/>
      </c>
      <c r="AK24" s="101">
        <f>IF(AJ24="","",IF(AJ24&gt;=0.15,"STRONG",IF(AJ24&gt;=0.1,"FILE",IF(AJ24&gt;=0.07,"INVESTIGATE","PASS"))))</f>
        <v/>
      </c>
    </row>
    <row r="25" ht="15" customHeight="1" s="57">
      <c r="A25" s="89" t="inlineStr">
        <is>
          <t>2419 Cheshire Bridge Rd NE</t>
        </is>
      </c>
      <c r="B25" s="63" t="inlineStr">
        <is>
          <t>Atlanta</t>
        </is>
      </c>
      <c r="C25" s="63" t="inlineStr">
        <is>
          <t>GA</t>
        </is>
      </c>
      <c r="D25" s="90" t="n">
        <v>30324</v>
      </c>
      <c r="E25" s="91" t="inlineStr">
        <is>
          <t>Pontus Vault Portfolio, LLC</t>
        </is>
      </c>
      <c r="F25" s="63" t="inlineStr">
        <is>
          <t>VP2419</t>
        </is>
      </c>
      <c r="G25" s="91" t="inlineStr">
        <is>
          <t>17 -0006-0003-048-4 (3 total bills, including solid waste bill)</t>
        </is>
      </c>
      <c r="H25" s="63" t="n">
        <v>2</v>
      </c>
      <c r="J25" s="65" t="n">
        <v>46326</v>
      </c>
      <c r="K25" s="65" t="n">
        <v>46341</v>
      </c>
      <c r="N25" s="65" t="n"/>
      <c r="O25" s="63" t="inlineStr">
        <is>
          <t>Pontus</t>
        </is>
      </c>
      <c r="P25" s="63" t="inlineStr">
        <is>
          <t>Fulton County</t>
        </is>
      </c>
      <c r="Q25" s="63" t="n">
        <v>4046136100</v>
      </c>
      <c r="R25" s="102" t="inlineStr">
        <is>
          <t>https://www.fultoncountytaxes.org/propertytax/summary/17%20000600030484</t>
        </is>
      </c>
      <c r="S25" s="95" t="n">
        <v>0</v>
      </c>
      <c r="T25" s="96" t="n"/>
      <c r="U25" s="97" t="inlineStr">
        <is>
          <t>2025-12-12</t>
        </is>
      </c>
      <c r="V25" s="95" t="n">
        <v>21761</v>
      </c>
      <c r="W25" s="97" t="inlineStr">
        <is>
          <t>2026-12-14</t>
        </is>
      </c>
      <c r="X25" s="98" t="inlineStr">
        <is>
          <t>https://www.fultoncountytaxes.org/propertytax/summary/17%20000600030484</t>
        </is>
      </c>
      <c r="Y25" s="98" t="n"/>
      <c r="Z25" s="98" t="n"/>
      <c r="AA25" s="98" t="inlineStr">
        <is>
          <t>TBD — replace with broker name + date</t>
        </is>
      </c>
      <c r="AB25" s="99" t="n">
        <v>622000</v>
      </c>
      <c r="AC25" s="99" t="n">
        <v>541000</v>
      </c>
      <c r="AD25" s="99" t="n">
        <v>459000</v>
      </c>
      <c r="AE25" s="99" t="n">
        <v>615000</v>
      </c>
      <c r="AF25" s="99" t="n">
        <v>557000</v>
      </c>
      <c r="AG25" s="99" t="n">
        <v>461000</v>
      </c>
      <c r="AH25" s="99" t="n">
        <v>607000</v>
      </c>
      <c r="AI25" s="99">
        <f>AH25-AF25</f>
        <v/>
      </c>
      <c r="AJ25" s="100">
        <f>IF(AF25=0,"",AI25/AF25)</f>
        <v/>
      </c>
      <c r="AK25" s="101">
        <f>IF(AJ25="","",IF(AJ25&gt;=0.15,"STRONG",IF(AJ25&gt;=0.1,"FILE",IF(AJ25&gt;=0.07,"INVESTIGATE","PASS"))))</f>
        <v/>
      </c>
    </row>
    <row r="26" ht="15" customHeight="1" s="57">
      <c r="A26" s="89" t="inlineStr">
        <is>
          <t>17 Kings Hwy W</t>
        </is>
      </c>
      <c r="B26" s="63" t="inlineStr">
        <is>
          <t>Haddonfield</t>
        </is>
      </c>
      <c r="C26" s="63" t="inlineStr">
        <is>
          <t>NJ</t>
        </is>
      </c>
      <c r="D26" s="90" t="n">
        <v>8033</v>
      </c>
      <c r="E26" s="91" t="inlineStr">
        <is>
          <t>Pontus Vault Portfolio, LLC</t>
        </is>
      </c>
      <c r="F26" s="63" t="inlineStr">
        <is>
          <t>VP17</t>
        </is>
      </c>
      <c r="G26" s="91" t="inlineStr">
        <is>
          <t>17-00134-0000-00009-01</t>
        </is>
      </c>
      <c r="H26" s="63" t="n">
        <v>4</v>
      </c>
      <c r="J26" s="65" t="n">
        <v>46327</v>
      </c>
      <c r="K26" s="65" t="n">
        <v>46419</v>
      </c>
      <c r="L26" s="65" t="n">
        <v>46143</v>
      </c>
      <c r="M26" s="66" t="n">
        <v>46235</v>
      </c>
      <c r="O26" s="63" t="inlineStr">
        <is>
          <t>Fulton Bank</t>
        </is>
      </c>
      <c r="P26" s="63" t="inlineStr">
        <is>
          <t>Borough of Haddonfield</t>
        </is>
      </c>
      <c r="Q26" s="63" t="inlineStr">
        <is>
          <t>(856) 429-4700 ext. 206</t>
        </is>
      </c>
      <c r="R26" s="102" t="inlineStr">
        <is>
          <t>https://wipp.edmundsassoc.com/Wipp/?wippid=0417#taxPage4546</t>
        </is>
      </c>
      <c r="S26" s="95" t="n">
        <v>60960</v>
      </c>
      <c r="T26" s="96" t="n"/>
      <c r="U26" s="104" t="n"/>
      <c r="V26" s="104" t="n"/>
      <c r="W26" s="104" t="n"/>
      <c r="X26" s="98" t="inlineStr">
        <is>
          <t>https://wipp.edmundsassoc.com/Wipp/?wippid=0417#taxPage4546</t>
        </is>
      </c>
      <c r="Y26" s="98" t="n"/>
      <c r="Z26" s="98" t="n"/>
      <c r="AA26" s="98" t="inlineStr">
        <is>
          <t>TBD — replace with broker name + date</t>
        </is>
      </c>
      <c r="AB26" s="99" t="n">
        <v>3654000</v>
      </c>
      <c r="AC26" s="99" t="n">
        <v>3178000</v>
      </c>
      <c r="AD26" s="99" t="n">
        <v>2701000</v>
      </c>
      <c r="AE26" s="99" t="n">
        <v>3606000</v>
      </c>
      <c r="AF26" s="99" t="n">
        <v>3093000</v>
      </c>
      <c r="AG26" s="99" t="n">
        <v>2652000</v>
      </c>
      <c r="AH26" s="99" t="n">
        <v>3433000</v>
      </c>
      <c r="AI26" s="99">
        <f>AH26-AF26</f>
        <v/>
      </c>
      <c r="AJ26" s="100">
        <f>IF(AF26=0,"",AI26/AF26)</f>
        <v/>
      </c>
      <c r="AK26" s="101">
        <f>IF(AJ26="","",IF(AJ26&gt;=0.15,"STRONG",IF(AJ26&gt;=0.1,"FILE",IF(AJ26&gt;=0.07,"INVESTIGATE","PASS"))))</f>
        <v/>
      </c>
    </row>
    <row r="27" ht="15" customHeight="1" s="57">
      <c r="A27" s="89" t="inlineStr">
        <is>
          <t>2855 Auto Mall Parkway</t>
        </is>
      </c>
      <c r="B27" s="63" t="inlineStr">
        <is>
          <t>Fairfield</t>
        </is>
      </c>
      <c r="C27" s="63" t="inlineStr">
        <is>
          <t>CA</t>
        </is>
      </c>
      <c r="D27" s="90" t="n">
        <v>94533</v>
      </c>
      <c r="E27" s="91" t="inlineStr">
        <is>
          <t>Pontus MAG Fairfield II, LLC</t>
        </is>
      </c>
      <c r="F27" s="63" t="inlineStr">
        <is>
          <t>MAG2855</t>
        </is>
      </c>
      <c r="G27" s="91" t="n">
        <v>28123030</v>
      </c>
      <c r="H27" s="63" t="n">
        <v>2</v>
      </c>
      <c r="J27" s="103" t="n">
        <v>46366</v>
      </c>
      <c r="K27" s="103" t="n">
        <v>46487</v>
      </c>
      <c r="L27" s="103" t="n"/>
      <c r="O27" s="63" t="inlineStr">
        <is>
          <t>Schomp</t>
        </is>
      </c>
      <c r="P27" s="63" t="inlineStr">
        <is>
          <t>Solano County</t>
        </is>
      </c>
      <c r="Q27" s="63" t="n">
        <v>7077847485</v>
      </c>
      <c r="R27" s="102" t="inlineStr">
        <is>
          <t>www.solanocounty.com</t>
        </is>
      </c>
      <c r="S27" s="95" t="n">
        <v>0</v>
      </c>
      <c r="T27" s="96" t="n"/>
      <c r="U27" s="97" t="inlineStr">
        <is>
          <t>2025-12-17</t>
        </is>
      </c>
      <c r="V27" s="95" t="n">
        <v>22143</v>
      </c>
      <c r="W27" s="97" t="inlineStr">
        <is>
          <t>2026-11-10</t>
        </is>
      </c>
      <c r="X27" s="98" t="inlineStr">
        <is>
          <t>www.solanocounty.com</t>
        </is>
      </c>
      <c r="Y27" s="98" t="n"/>
      <c r="Z27" s="98" t="n"/>
      <c r="AA27" s="98" t="inlineStr">
        <is>
          <t>TBD — replace with broker name + date</t>
        </is>
      </c>
      <c r="AB27" s="99" t="n">
        <v>1833000</v>
      </c>
      <c r="AC27" s="99" t="n">
        <v>1594000</v>
      </c>
      <c r="AD27" s="99" t="n">
        <v>1354000</v>
      </c>
      <c r="AE27" s="99" t="n">
        <v>1821000</v>
      </c>
      <c r="AF27" s="99" t="n">
        <v>1559000</v>
      </c>
      <c r="AG27" s="99" t="n">
        <v>1356000</v>
      </c>
      <c r="AH27" s="99" t="n">
        <v>1626000</v>
      </c>
      <c r="AI27" s="99">
        <f>AH27-AF27</f>
        <v/>
      </c>
      <c r="AJ27" s="100">
        <f>IF(AF27=0,"",AI27/AF27)</f>
        <v/>
      </c>
      <c r="AK27" s="101">
        <f>IF(AJ27="","",IF(AJ27&gt;=0.15,"STRONG",IF(AJ27&gt;=0.1,"FILE",IF(AJ27&gt;=0.07,"INVESTIGATE","PASS"))))</f>
        <v/>
      </c>
    </row>
    <row r="28" ht="15" customHeight="1" s="57">
      <c r="A28" s="89" t="inlineStr">
        <is>
          <t>2701 Auto Mall Parkway</t>
        </is>
      </c>
      <c r="B28" s="63" t="inlineStr">
        <is>
          <t>Fairfield</t>
        </is>
      </c>
      <c r="C28" s="63" t="inlineStr">
        <is>
          <t>CA</t>
        </is>
      </c>
      <c r="D28" s="90" t="n">
        <v>94533</v>
      </c>
      <c r="E28" s="91" t="inlineStr">
        <is>
          <t>Pontus MAG Fairfield III, LLC</t>
        </is>
      </c>
      <c r="F28" s="63" t="inlineStr">
        <is>
          <t>MAG2701</t>
        </is>
      </c>
      <c r="G28" s="91" t="n"/>
      <c r="J28" s="103" t="n">
        <v>46366</v>
      </c>
      <c r="K28" s="103" t="n">
        <v>46487</v>
      </c>
      <c r="L28" s="103" t="n"/>
      <c r="O28" s="63" t="inlineStr">
        <is>
          <t>Schomp</t>
        </is>
      </c>
      <c r="P28" s="63" t="inlineStr">
        <is>
          <t>Solano County</t>
        </is>
      </c>
      <c r="Q28" s="63" t="n">
        <v>7077847485</v>
      </c>
      <c r="R28" s="102" t="inlineStr">
        <is>
          <t>www.solanocounty.com</t>
        </is>
      </c>
      <c r="S28" s="95" t="n">
        <v>0</v>
      </c>
      <c r="T28" s="96" t="n"/>
      <c r="U28" s="97" t="inlineStr">
        <is>
          <t>2025-12-17</t>
        </is>
      </c>
      <c r="V28" s="95" t="n">
        <v>8021</v>
      </c>
      <c r="W28" s="97" t="inlineStr">
        <is>
          <t>2026-12-26</t>
        </is>
      </c>
      <c r="X28" s="98" t="inlineStr">
        <is>
          <t>www.solanocounty.com</t>
        </is>
      </c>
      <c r="Y28" s="98" t="inlineStr">
        <is>
          <t>https://example.com/x/property-28</t>
        </is>
      </c>
      <c r="Z28" s="98" t="n"/>
      <c r="AA28" s="98" t="inlineStr">
        <is>
          <t>TBD — replace with broker name + date</t>
        </is>
      </c>
      <c r="AB28" s="99" t="n">
        <v>4788000</v>
      </c>
      <c r="AC28" s="99" t="n">
        <v>4164000</v>
      </c>
      <c r="AD28" s="99" t="n">
        <v>3539000</v>
      </c>
      <c r="AE28" s="99" t="n">
        <v>4673000</v>
      </c>
      <c r="AF28" s="99" t="n">
        <v>4078000</v>
      </c>
      <c r="AG28" s="99" t="n">
        <v>3576000</v>
      </c>
      <c r="AH28" s="99" t="n">
        <v>4997000</v>
      </c>
      <c r="AI28" s="99">
        <f>AH28-AF28</f>
        <v/>
      </c>
      <c r="AJ28" s="100">
        <f>IF(AF28=0,"",AI28/AF28)</f>
        <v/>
      </c>
      <c r="AK28" s="101">
        <f>IF(AJ28="","",IF(AJ28&gt;=0.15,"STRONG",IF(AJ28&gt;=0.1,"FILE",IF(AJ28&gt;=0.07,"INVESTIGATE","PASS"))))</f>
        <v/>
      </c>
    </row>
    <row r="29" ht="15" customHeight="1" s="57">
      <c r="A29" s="89" t="inlineStr">
        <is>
          <t>2775 Auto Mall Pkwy</t>
        </is>
      </c>
      <c r="B29" s="63" t="inlineStr">
        <is>
          <t>Fairfield</t>
        </is>
      </c>
      <c r="C29" s="63" t="inlineStr">
        <is>
          <t>CA</t>
        </is>
      </c>
      <c r="D29" s="90" t="n">
        <v>94533</v>
      </c>
      <c r="E29" s="91" t="inlineStr">
        <is>
          <t>Pontus MAG Fairfield III, LLC</t>
        </is>
      </c>
      <c r="F29" s="63" t="inlineStr">
        <is>
          <t>MAG2775</t>
        </is>
      </c>
      <c r="G29" s="91" t="n">
        <v>28123120</v>
      </c>
      <c r="H29" s="63" t="n">
        <v>2</v>
      </c>
      <c r="J29" s="103" t="n">
        <v>46366</v>
      </c>
      <c r="K29" s="103" t="n">
        <v>46487</v>
      </c>
      <c r="L29" s="103" t="n"/>
      <c r="N29" s="65" t="n"/>
      <c r="O29" s="63" t="inlineStr">
        <is>
          <t>Schomp</t>
        </is>
      </c>
      <c r="P29" s="63" t="inlineStr">
        <is>
          <t>Solano County</t>
        </is>
      </c>
      <c r="Q29" s="63" t="n">
        <v>7077847485</v>
      </c>
      <c r="R29" s="102" t="inlineStr">
        <is>
          <t>www.solanocounty.com</t>
        </is>
      </c>
      <c r="S29" s="95" t="n">
        <v>0</v>
      </c>
      <c r="T29" s="96" t="n"/>
      <c r="U29" s="97" t="inlineStr">
        <is>
          <t>2025-11-27</t>
        </is>
      </c>
      <c r="V29" s="95" t="n">
        <v>23221</v>
      </c>
      <c r="W29" s="97" t="inlineStr">
        <is>
          <t>2026-11-25</t>
        </is>
      </c>
      <c r="X29" s="98" t="inlineStr">
        <is>
          <t>www.solanocounty.com</t>
        </is>
      </c>
      <c r="Y29" s="98" t="n"/>
      <c r="Z29" s="98" t="n"/>
      <c r="AA29" s="98" t="inlineStr">
        <is>
          <t>TBD — replace with broker name + date</t>
        </is>
      </c>
      <c r="AB29" s="99" t="n">
        <v>2458000</v>
      </c>
      <c r="AC29" s="99" t="n">
        <v>2138000</v>
      </c>
      <c r="AD29" s="99" t="n">
        <v>1817000</v>
      </c>
      <c r="AE29" s="99" t="n">
        <v>2417000</v>
      </c>
      <c r="AF29" s="99" t="n">
        <v>2164000</v>
      </c>
      <c r="AG29" s="99" t="n">
        <v>1805000</v>
      </c>
      <c r="AH29" s="99" t="n">
        <v>2395000</v>
      </c>
      <c r="AI29" s="99">
        <f>AH29-AF29</f>
        <v/>
      </c>
      <c r="AJ29" s="100">
        <f>IF(AF29=0,"",AI29/AF29)</f>
        <v/>
      </c>
      <c r="AK29" s="101">
        <f>IF(AJ29="","",IF(AJ29&gt;=0.15,"STRONG",IF(AJ29&gt;=0.1,"FILE",IF(AJ29&gt;=0.07,"INVESTIGATE","PASS"))))</f>
        <v/>
      </c>
    </row>
    <row r="30" ht="15" customHeight="1" s="57">
      <c r="A30" s="89" t="inlineStr">
        <is>
          <t>3970 Missouri Flat Rd</t>
        </is>
      </c>
      <c r="B30" s="63" t="inlineStr">
        <is>
          <t>Placerville</t>
        </is>
      </c>
      <c r="C30" s="63" t="inlineStr">
        <is>
          <t>CA</t>
        </is>
      </c>
      <c r="D30" s="90" t="n">
        <v>95667</v>
      </c>
      <c r="E30" s="91" t="inlineStr">
        <is>
          <t>Pontus Vault Portfolio, LLC</t>
        </is>
      </c>
      <c r="F30" s="63" t="inlineStr">
        <is>
          <t>VP3970</t>
        </is>
      </c>
      <c r="G30" s="91" t="inlineStr">
        <is>
          <t>327-130-040-000</t>
        </is>
      </c>
      <c r="H30" s="63" t="n">
        <v>2</v>
      </c>
      <c r="J30" s="103" t="n">
        <v>46366</v>
      </c>
      <c r="K30" s="65" t="n">
        <v>46487</v>
      </c>
      <c r="N30" s="65" t="n"/>
      <c r="O30" s="63" t="inlineStr">
        <is>
          <t>Pontus</t>
        </is>
      </c>
      <c r="P30" s="63" t="inlineStr">
        <is>
          <t>El Dorado County</t>
        </is>
      </c>
      <c r="Q30" s="63" t="n">
        <v>5306215800</v>
      </c>
      <c r="R30" s="102" t="inlineStr">
        <is>
          <t>https://common3.mptsweb.com/MBC/eldorado/tax/main/327130040000/2024/0000</t>
        </is>
      </c>
      <c r="S30" s="95" t="n">
        <v>0</v>
      </c>
      <c r="T30" s="96" t="n"/>
      <c r="U30" s="97" t="inlineStr">
        <is>
          <t>2025-11-18</t>
        </is>
      </c>
      <c r="V30" s="95" t="n">
        <v>7243</v>
      </c>
      <c r="W30" s="97" t="inlineStr">
        <is>
          <t>2026-11-25</t>
        </is>
      </c>
      <c r="X30" s="98" t="inlineStr">
        <is>
          <t>https://common3.mptsweb.com/MBC/eldorado/tax/main/327130040000/2024/0000</t>
        </is>
      </c>
      <c r="Y30" s="98" t="n"/>
      <c r="Z30" s="98" t="n"/>
      <c r="AA30" s="98" t="inlineStr">
        <is>
          <t>TBD — replace with broker name + date</t>
        </is>
      </c>
      <c r="AB30" s="99" t="n">
        <v>1662000</v>
      </c>
      <c r="AC30" s="99" t="n">
        <v>1446000</v>
      </c>
      <c r="AD30" s="99" t="n">
        <v>1229000</v>
      </c>
      <c r="AE30" s="99" t="n">
        <v>1633000</v>
      </c>
      <c r="AF30" s="99" t="n">
        <v>1435000</v>
      </c>
      <c r="AG30" s="99" t="n">
        <v>1218000</v>
      </c>
      <c r="AH30" s="99" t="n">
        <v>1562000</v>
      </c>
      <c r="AI30" s="99">
        <f>AH30-AF30</f>
        <v/>
      </c>
      <c r="AJ30" s="100">
        <f>IF(AF30=0,"",AI30/AF30)</f>
        <v/>
      </c>
      <c r="AK30" s="101">
        <f>IF(AJ30="","",IF(AJ30&gt;=0.15,"STRONG",IF(AJ30&gt;=0.1,"FILE",IF(AJ30&gt;=0.07,"INVESTIGATE","PASS"))))</f>
        <v/>
      </c>
    </row>
    <row r="31" ht="15" customHeight="1" s="57">
      <c r="A31" s="89" t="inlineStr">
        <is>
          <t>1801 Douglas Blvd</t>
        </is>
      </c>
      <c r="B31" s="63" t="inlineStr">
        <is>
          <t>Roseville</t>
        </is>
      </c>
      <c r="C31" s="63" t="inlineStr">
        <is>
          <t>CA</t>
        </is>
      </c>
      <c r="D31" s="90" t="n">
        <v>95661</v>
      </c>
      <c r="E31" s="91" t="inlineStr">
        <is>
          <t>Pontus Vault Portfolio, LLC</t>
        </is>
      </c>
      <c r="F31" s="63" t="inlineStr">
        <is>
          <t>VP1801</t>
        </is>
      </c>
      <c r="G31" s="91" t="inlineStr">
        <is>
          <t>048-520-006-000</t>
        </is>
      </c>
      <c r="H31" s="63" t="n">
        <v>2</v>
      </c>
      <c r="J31" s="103" t="n">
        <v>46366</v>
      </c>
      <c r="K31" s="65" t="n">
        <v>46487</v>
      </c>
      <c r="N31" s="65" t="n"/>
      <c r="O31" s="63" t="inlineStr">
        <is>
          <t>Pontus</t>
        </is>
      </c>
      <c r="P31" s="63" t="inlineStr">
        <is>
          <t>Placer County</t>
        </is>
      </c>
      <c r="Q31" s="63" t="n">
        <v>5308894120</v>
      </c>
      <c r="R31" s="102" t="inlineStr">
        <is>
          <t>https://common3.mptsweb.com/MBC/placer/tax/main/048520006000/2024/0000</t>
        </is>
      </c>
      <c r="S31" s="95" t="n">
        <v>0</v>
      </c>
      <c r="T31" s="96" t="n"/>
      <c r="U31" s="97" t="inlineStr">
        <is>
          <t>2025-12-16</t>
        </is>
      </c>
      <c r="V31" s="95" t="n">
        <v>22322</v>
      </c>
      <c r="W31" s="97" t="inlineStr">
        <is>
          <t>2026-12-10</t>
        </is>
      </c>
      <c r="X31" s="98" t="inlineStr">
        <is>
          <t>https://common3.mptsweb.com/MBC/placer/tax/main/048520006000/2024/0000</t>
        </is>
      </c>
      <c r="Y31" s="98" t="n"/>
      <c r="Z31" s="98" t="n"/>
      <c r="AA31" s="98" t="inlineStr">
        <is>
          <t>TBD — replace with broker name + date</t>
        </is>
      </c>
      <c r="AB31" s="99" t="n">
        <v>813000</v>
      </c>
      <c r="AC31" s="99" t="n">
        <v>707000</v>
      </c>
      <c r="AD31" s="99" t="n">
        <v>600000</v>
      </c>
      <c r="AE31" s="99" t="n">
        <v>811000</v>
      </c>
      <c r="AF31" s="99" t="n">
        <v>718000</v>
      </c>
      <c r="AG31" s="99" t="n">
        <v>585000</v>
      </c>
      <c r="AH31" s="99" t="n">
        <v>722000</v>
      </c>
      <c r="AI31" s="99">
        <f>AH31-AF31</f>
        <v/>
      </c>
      <c r="AJ31" s="100">
        <f>IF(AF31=0,"",AI31/AF31)</f>
        <v/>
      </c>
      <c r="AK31" s="101">
        <f>IF(AJ31="","",IF(AJ31&gt;=0.15,"STRONG",IF(AJ31&gt;=0.1,"FILE",IF(AJ31&gt;=0.07,"INVESTIGATE","PASS"))))</f>
        <v/>
      </c>
    </row>
    <row r="32" ht="15" customHeight="1" s="57">
      <c r="A32" s="89" t="inlineStr">
        <is>
          <t>229 S Washington St</t>
        </is>
      </c>
      <c r="B32" s="63" t="inlineStr">
        <is>
          <t>Sonora</t>
        </is>
      </c>
      <c r="C32" s="63" t="inlineStr">
        <is>
          <t>CA</t>
        </is>
      </c>
      <c r="D32" s="90" t="n">
        <v>95370</v>
      </c>
      <c r="E32" s="91" t="inlineStr">
        <is>
          <t>Pontus Vault Portfolio, LLC</t>
        </is>
      </c>
      <c r="F32" s="63" t="inlineStr">
        <is>
          <t>VP229</t>
        </is>
      </c>
      <c r="G32" s="91" t="inlineStr">
        <is>
          <t>001-201-010-000 (TWO BILLS)</t>
        </is>
      </c>
      <c r="H32" s="63" t="n">
        <v>2</v>
      </c>
      <c r="J32" s="103" t="n">
        <v>46366</v>
      </c>
      <c r="K32" s="65" t="n">
        <v>46487</v>
      </c>
      <c r="N32" s="65" t="n"/>
      <c r="O32" s="63" t="inlineStr">
        <is>
          <t>Pontus</t>
        </is>
      </c>
      <c r="P32" s="63" t="inlineStr">
        <is>
          <t>Tuolumne County</t>
        </is>
      </c>
      <c r="Q32" s="63" t="inlineStr">
        <is>
          <t>209-533-5544</t>
        </is>
      </c>
      <c r="R32" s="102" t="inlineStr">
        <is>
          <t>https://common3.mptsweb.com/MBC/tuolumne/tax/main/001201010000/2024/0000</t>
        </is>
      </c>
      <c r="S32" s="95" t="n">
        <v>0</v>
      </c>
      <c r="T32" s="96" t="n"/>
      <c r="U32" s="97" t="inlineStr">
        <is>
          <t>2025-11-18</t>
        </is>
      </c>
      <c r="V32" s="95" t="n">
        <v>24212</v>
      </c>
      <c r="W32" s="97" t="inlineStr">
        <is>
          <t>2026-12-24</t>
        </is>
      </c>
      <c r="X32" s="98" t="inlineStr">
        <is>
          <t>https://common3.mptsweb.com/MBC/tuolumne/tax/main/001201010000/2024/0000</t>
        </is>
      </c>
      <c r="Y32" s="98" t="n"/>
      <c r="Z32" s="98" t="n"/>
      <c r="AA32" s="98" t="inlineStr">
        <is>
          <t>TBD — replace with broker name + date</t>
        </is>
      </c>
      <c r="AB32" s="99" t="n">
        <v>786000</v>
      </c>
      <c r="AC32" s="99" t="n">
        <v>684000</v>
      </c>
      <c r="AD32" s="99" t="n">
        <v>581000</v>
      </c>
      <c r="AE32" s="99" t="n">
        <v>791000</v>
      </c>
      <c r="AF32" s="99" t="n">
        <v>684000</v>
      </c>
      <c r="AG32" s="99" t="n">
        <v>592000</v>
      </c>
      <c r="AH32" s="99" t="n">
        <v>821000</v>
      </c>
      <c r="AI32" s="99">
        <f>AH32-AF32</f>
        <v/>
      </c>
      <c r="AJ32" s="100">
        <f>IF(AF32=0,"",AI32/AF32)</f>
        <v/>
      </c>
      <c r="AK32" s="101">
        <f>IF(AJ32="","",IF(AJ32&gt;=0.15,"STRONG",IF(AJ32&gt;=0.1,"FILE",IF(AJ32&gt;=0.07,"INVESTIGATE","PASS"))))</f>
        <v/>
      </c>
    </row>
    <row r="33" ht="15" customHeight="1" s="57">
      <c r="A33" s="89" t="inlineStr">
        <is>
          <t>2621 North Bolton Avenue</t>
        </is>
      </c>
      <c r="B33" s="63" t="inlineStr">
        <is>
          <t>Alexandria</t>
        </is>
      </c>
      <c r="C33" s="63" t="inlineStr">
        <is>
          <t>LA</t>
        </is>
      </c>
      <c r="D33" s="90" t="n">
        <v>71303</v>
      </c>
      <c r="E33" s="91" t="inlineStr">
        <is>
          <t>Pontus OH Portfolio, LLC</t>
        </is>
      </c>
      <c r="F33" s="63" t="inlineStr">
        <is>
          <t>OH2621</t>
        </is>
      </c>
      <c r="G33" s="91" t="n">
        <v>2401806960000300</v>
      </c>
      <c r="H33" s="63" t="n">
        <v>1</v>
      </c>
      <c r="J33" s="65" t="n">
        <v>46387</v>
      </c>
      <c r="O33" s="63" t="inlineStr">
        <is>
          <t>Oceans</t>
        </is>
      </c>
      <c r="P33" s="63" t="inlineStr">
        <is>
          <t>Rapides Parish Sheriff's Office</t>
        </is>
      </c>
      <c r="Q33" s="63" t="n">
        <v>3184736740</v>
      </c>
      <c r="R33" s="102" t="inlineStr">
        <is>
          <t>www.rpso.org</t>
        </is>
      </c>
      <c r="S33" s="95" t="n">
        <v>0</v>
      </c>
      <c r="T33" s="96" t="n"/>
      <c r="U33" s="97" t="inlineStr">
        <is>
          <t>2025-12-13</t>
        </is>
      </c>
      <c r="V33" s="95" t="n">
        <v>23664</v>
      </c>
      <c r="W33" s="97" t="inlineStr">
        <is>
          <t>2026-12-26</t>
        </is>
      </c>
      <c r="X33" s="98" t="inlineStr">
        <is>
          <t>www.rpso.org</t>
        </is>
      </c>
      <c r="Y33" s="98" t="n"/>
      <c r="Z33" s="98" t="inlineStr">
        <is>
          <t>https://example.com/y/property-33</t>
        </is>
      </c>
      <c r="AA33" s="98" t="inlineStr">
        <is>
          <t>TBD — replace with broker name + date</t>
        </is>
      </c>
      <c r="AB33" s="99" t="n">
        <v>5100000</v>
      </c>
      <c r="AC33" s="99" t="n">
        <v>4435000</v>
      </c>
      <c r="AD33" s="99" t="n">
        <v>3769000</v>
      </c>
      <c r="AE33" s="99" t="n">
        <v>5093000</v>
      </c>
      <c r="AF33" s="99" t="n">
        <v>4351000</v>
      </c>
      <c r="AG33" s="99" t="n">
        <v>3711000</v>
      </c>
      <c r="AH33" s="99" t="n">
        <v>4968000</v>
      </c>
      <c r="AI33" s="99">
        <f>AH33-AF33</f>
        <v/>
      </c>
      <c r="AJ33" s="100">
        <f>IF(AF33=0,"",AI33/AF33)</f>
        <v/>
      </c>
      <c r="AK33" s="101">
        <f>IF(AJ33="","",IF(AJ33&gt;=0.15,"STRONG",IF(AJ33&gt;=0.1,"FILE",IF(AJ33&gt;=0.07,"INVESTIGATE","PASS"))))</f>
        <v/>
      </c>
    </row>
    <row r="34" ht="15" customHeight="1" s="57">
      <c r="A34" s="89" t="inlineStr">
        <is>
          <t>11135 Florida Boulevard</t>
        </is>
      </c>
      <c r="B34" s="63" t="inlineStr">
        <is>
          <t>Baton Rouge</t>
        </is>
      </c>
      <c r="C34" s="63" t="inlineStr">
        <is>
          <t>LA</t>
        </is>
      </c>
      <c r="D34" s="90" t="n">
        <v>70815</v>
      </c>
      <c r="E34" s="91" t="inlineStr">
        <is>
          <t>Pontus OH Portfolio, LLC</t>
        </is>
      </c>
      <c r="F34" s="63" t="inlineStr">
        <is>
          <t>OH11135</t>
        </is>
      </c>
      <c r="G34" s="91" t="n">
        <v>1094726</v>
      </c>
      <c r="H34" s="63" t="n">
        <v>1</v>
      </c>
      <c r="J34" s="65" t="n">
        <v>46387</v>
      </c>
      <c r="N34" s="65" t="n"/>
      <c r="O34" s="63" t="inlineStr">
        <is>
          <t>Oceans</t>
        </is>
      </c>
      <c r="P34" s="63" t="inlineStr">
        <is>
          <t>East Baton Rouge Parish</t>
        </is>
      </c>
      <c r="Q34" s="63" t="n">
        <v>2253893920</v>
      </c>
      <c r="R34" s="102" t="inlineStr">
        <is>
          <t>https://snstaxpayments.com/ebr</t>
        </is>
      </c>
      <c r="S34" s="95" t="n">
        <v>0</v>
      </c>
      <c r="T34" s="96" t="n"/>
      <c r="U34" s="97" t="inlineStr">
        <is>
          <t>2025-12-20</t>
        </is>
      </c>
      <c r="V34" s="95" t="n">
        <v>21298</v>
      </c>
      <c r="W34" s="97" t="inlineStr">
        <is>
          <t>2026-12-14</t>
        </is>
      </c>
      <c r="X34" s="98" t="inlineStr">
        <is>
          <t>https://snstaxpayments.com/ebr</t>
        </is>
      </c>
      <c r="Y34" s="98" t="n"/>
      <c r="Z34" s="98" t="n"/>
      <c r="AA34" s="98" t="inlineStr">
        <is>
          <t>TBD — replace with broker name + date</t>
        </is>
      </c>
      <c r="AB34" s="99" t="n">
        <v>3400000</v>
      </c>
      <c r="AC34" s="99" t="n">
        <v>2957000</v>
      </c>
      <c r="AD34" s="99" t="n">
        <v>2513000</v>
      </c>
      <c r="AE34" s="99" t="n">
        <v>3458000</v>
      </c>
      <c r="AF34" s="99" t="n">
        <v>2948000</v>
      </c>
      <c r="AG34" s="99" t="n">
        <v>2570000</v>
      </c>
      <c r="AH34" s="99" t="n">
        <v>3194000</v>
      </c>
      <c r="AI34" s="99">
        <f>AH34-AF34</f>
        <v/>
      </c>
      <c r="AJ34" s="100">
        <f>IF(AF34=0,"",AI34/AF34)</f>
        <v/>
      </c>
      <c r="AK34" s="101">
        <f>IF(AJ34="","",IF(AJ34&gt;=0.15,"STRONG",IF(AJ34&gt;=0.1,"FILE",IF(AJ34&gt;=0.07,"INVESTIGATE","PASS"))))</f>
        <v/>
      </c>
    </row>
    <row r="35" ht="15" customHeight="1" s="57">
      <c r="A35" s="89" t="inlineStr">
        <is>
          <t>302 West McNeese Street</t>
        </is>
      </c>
      <c r="B35" s="63" t="inlineStr">
        <is>
          <t>Lake Charles</t>
        </is>
      </c>
      <c r="C35" s="63" t="inlineStr">
        <is>
          <t>LA</t>
        </is>
      </c>
      <c r="D35" s="90" t="n">
        <v>70605</v>
      </c>
      <c r="E35" s="91" t="inlineStr">
        <is>
          <t>Pontus OH Portfolio, LLC</t>
        </is>
      </c>
      <c r="F35" s="63" t="inlineStr">
        <is>
          <t>OH302</t>
        </is>
      </c>
      <c r="G35" s="91" t="inlineStr">
        <is>
          <t>00310891</t>
        </is>
      </c>
      <c r="H35" s="63" t="n">
        <v>1</v>
      </c>
      <c r="J35" s="65" t="n">
        <v>46387</v>
      </c>
      <c r="N35" s="65" t="n"/>
      <c r="O35" s="63" t="inlineStr">
        <is>
          <t>Oceans</t>
        </is>
      </c>
      <c r="P35" s="63" t="inlineStr">
        <is>
          <t>Calcasieu Parish</t>
        </is>
      </c>
      <c r="Q35" s="63" t="n">
        <v>3374913680</v>
      </c>
      <c r="R35" s="102" t="inlineStr">
        <is>
          <t>https://snstaxpayments.com/calcasieu</t>
        </is>
      </c>
      <c r="S35" s="95" t="n">
        <v>0</v>
      </c>
      <c r="T35" s="96" t="n"/>
      <c r="U35" s="97" t="inlineStr">
        <is>
          <t>2025-12-11</t>
        </is>
      </c>
      <c r="V35" s="95" t="n">
        <v>23541</v>
      </c>
      <c r="W35" s="97" t="inlineStr">
        <is>
          <t>2026-12-10</t>
        </is>
      </c>
      <c r="X35" s="98" t="inlineStr">
        <is>
          <t>https://snstaxpayments.com/calcasieu</t>
        </is>
      </c>
      <c r="Y35" s="98" t="inlineStr">
        <is>
          <t>https://example.com/x/property-35</t>
        </is>
      </c>
      <c r="Z35" s="98" t="n"/>
      <c r="AA35" s="98" t="inlineStr">
        <is>
          <t>TBD — replace with broker name + date</t>
        </is>
      </c>
      <c r="AB35" s="99" t="n">
        <v>1409000</v>
      </c>
      <c r="AC35" s="99" t="n">
        <v>1226000</v>
      </c>
      <c r="AD35" s="99" t="n">
        <v>1042000</v>
      </c>
      <c r="AE35" s="99" t="n">
        <v>1382000</v>
      </c>
      <c r="AF35" s="99" t="n">
        <v>1255000</v>
      </c>
      <c r="AG35" s="99" t="n">
        <v>1065000</v>
      </c>
      <c r="AH35" s="99" t="n">
        <v>1251000</v>
      </c>
      <c r="AI35" s="99">
        <f>AH35-AF35</f>
        <v/>
      </c>
      <c r="AJ35" s="100">
        <f>IF(AF35=0,"",AI35/AF35)</f>
        <v/>
      </c>
      <c r="AK35" s="101">
        <f>IF(AJ35="","",IF(AJ35&gt;=0.15,"STRONG",IF(AJ35&gt;=0.1,"FILE",IF(AJ35&gt;=0.07,"INVESTIGATE","PASS"))))</f>
        <v/>
      </c>
    </row>
    <row r="36" ht="15" customHeight="1" s="57">
      <c r="A36" s="89" t="inlineStr">
        <is>
          <t>1310 Heather Drive</t>
        </is>
      </c>
      <c r="B36" s="63" t="inlineStr">
        <is>
          <t>Opelousas</t>
        </is>
      </c>
      <c r="C36" s="63" t="inlineStr">
        <is>
          <t>LA</t>
        </is>
      </c>
      <c r="D36" s="90" t="n">
        <v>70570</v>
      </c>
      <c r="E36" s="91" t="inlineStr">
        <is>
          <t>Pontus OH Portfolio, LLC</t>
        </is>
      </c>
      <c r="F36" s="63" t="inlineStr">
        <is>
          <t>OH1310</t>
        </is>
      </c>
      <c r="G36" s="91" t="inlineStr">
        <is>
          <t>0102691000</t>
        </is>
      </c>
      <c r="H36" s="63" t="n">
        <v>1</v>
      </c>
      <c r="J36" s="65" t="n">
        <v>46387</v>
      </c>
      <c r="O36" s="63" t="inlineStr">
        <is>
          <t>Oceans</t>
        </is>
      </c>
      <c r="P36" s="63" t="inlineStr">
        <is>
          <t>St. Landry Parish</t>
        </is>
      </c>
      <c r="Q36" s="63" t="n">
        <v>3379423166</v>
      </c>
      <c r="R36" s="102" t="inlineStr">
        <is>
          <t>https://snstaxpayments.com/stlandry</t>
        </is>
      </c>
      <c r="S36" s="95" t="n">
        <v>0</v>
      </c>
      <c r="T36" s="96" t="n"/>
      <c r="U36" s="97" t="inlineStr">
        <is>
          <t>2025-11-25</t>
        </is>
      </c>
      <c r="V36" s="95" t="n">
        <v>20471</v>
      </c>
      <c r="W36" s="97" t="inlineStr">
        <is>
          <t>2026-12-22</t>
        </is>
      </c>
      <c r="X36" s="98" t="inlineStr">
        <is>
          <t>https://snstaxpayments.com/stlandry</t>
        </is>
      </c>
      <c r="Y36" s="98" t="n"/>
      <c r="Z36" s="98" t="n"/>
      <c r="AA36" s="98" t="inlineStr">
        <is>
          <t>TBD — replace with broker name + date</t>
        </is>
      </c>
      <c r="AB36" s="99" t="n">
        <v>3922000</v>
      </c>
      <c r="AC36" s="99" t="n">
        <v>3411000</v>
      </c>
      <c r="AD36" s="99" t="n">
        <v>2899000</v>
      </c>
      <c r="AE36" s="99" t="n">
        <v>3844000</v>
      </c>
      <c r="AF36" s="99" t="n">
        <v>3511000</v>
      </c>
      <c r="AG36" s="99" t="n">
        <v>2931000</v>
      </c>
      <c r="AH36" s="99" t="n">
        <v>4094000</v>
      </c>
      <c r="AI36" s="99">
        <f>AH36-AF36</f>
        <v/>
      </c>
      <c r="AJ36" s="100">
        <f>IF(AF36=0,"",AI36/AF36)</f>
        <v/>
      </c>
      <c r="AK36" s="101">
        <f>IF(AJ36="","",IF(AJ36&gt;=0.15,"STRONG",IF(AJ36&gt;=0.1,"FILE",IF(AJ36&gt;=0.07,"INVESTIGATE","PASS"))))</f>
        <v/>
      </c>
    </row>
    <row r="37" ht="15" customHeight="1" s="57">
      <c r="A37" s="89" t="inlineStr">
        <is>
          <t>4811 Nashville Rd</t>
        </is>
      </c>
      <c r="B37" s="63" t="inlineStr">
        <is>
          <t>Bowling Green</t>
        </is>
      </c>
      <c r="C37" s="63" t="inlineStr">
        <is>
          <t>KY</t>
        </is>
      </c>
      <c r="D37" s="90" t="n">
        <v>42101</v>
      </c>
      <c r="E37" s="91" t="inlineStr">
        <is>
          <t>Pontus IMB Portfolio, LLC</t>
        </is>
      </c>
      <c r="F37" s="63" t="inlineStr">
        <is>
          <t>IMB4811</t>
        </is>
      </c>
      <c r="G37" s="91" t="inlineStr">
        <is>
          <t>041B77B</t>
        </is>
      </c>
      <c r="H37" s="63" t="n">
        <v>1</v>
      </c>
      <c r="J37" s="65" t="n">
        <v>46387</v>
      </c>
      <c r="N37" s="65" t="n"/>
      <c r="O37" s="63" t="inlineStr">
        <is>
          <t>Pontus</t>
        </is>
      </c>
      <c r="R37" s="102" t="inlineStr">
        <is>
          <t>https://www.bgky.org/property-tax-search/invoices/156635</t>
        </is>
      </c>
      <c r="S37" s="95" t="n">
        <v>0</v>
      </c>
      <c r="T37" s="96" t="n"/>
      <c r="U37" s="97" t="inlineStr">
        <is>
          <t>2025-11-21</t>
        </is>
      </c>
      <c r="V37" s="95" t="n">
        <v>11286</v>
      </c>
      <c r="W37" s="97" t="inlineStr">
        <is>
          <t>2026-12-20</t>
        </is>
      </c>
      <c r="X37" s="98" t="inlineStr">
        <is>
          <t>https://www.bgky.org/property-tax-search/invoices/156635</t>
        </is>
      </c>
      <c r="Y37" s="98" t="n"/>
      <c r="Z37" s="98" t="n"/>
      <c r="AA37" s="98" t="inlineStr">
        <is>
          <t>TBD — replace with broker name + date</t>
        </is>
      </c>
      <c r="AB37" s="99" t="n">
        <v>4069000</v>
      </c>
      <c r="AC37" s="99" t="n">
        <v>3539000</v>
      </c>
      <c r="AD37" s="99" t="n">
        <v>3008000</v>
      </c>
      <c r="AE37" s="99" t="n">
        <v>4184000</v>
      </c>
      <c r="AF37" s="99" t="n">
        <v>3623000</v>
      </c>
      <c r="AG37" s="99" t="n">
        <v>3015000</v>
      </c>
      <c r="AH37" s="99" t="n">
        <v>3964000</v>
      </c>
      <c r="AI37" s="99">
        <f>AH37-AF37</f>
        <v/>
      </c>
      <c r="AJ37" s="100">
        <f>IF(AF37=0,"",AI37/AF37)</f>
        <v/>
      </c>
      <c r="AK37" s="101">
        <f>IF(AJ37="","",IF(AJ37&gt;=0.15,"STRONG",IF(AJ37&gt;=0.1,"FILE",IF(AJ37&gt;=0.07,"INVESTIGATE","PASS"))))</f>
        <v/>
      </c>
    </row>
    <row r="38" ht="15" customHeight="1" s="57">
      <c r="A38" s="89" t="inlineStr">
        <is>
          <t>4813 Nashville Rd</t>
        </is>
      </c>
      <c r="B38" s="63" t="inlineStr">
        <is>
          <t>Bowling Green</t>
        </is>
      </c>
      <c r="C38" s="63" t="inlineStr">
        <is>
          <t>KY</t>
        </is>
      </c>
      <c r="D38" s="90" t="n">
        <v>42101</v>
      </c>
      <c r="E38" s="91" t="inlineStr">
        <is>
          <t>Pontus IMB Portfolio, LLC</t>
        </is>
      </c>
      <c r="F38" s="63" t="inlineStr">
        <is>
          <t>IMB4813</t>
        </is>
      </c>
      <c r="G38" s="91" t="inlineStr">
        <is>
          <t>041B77D</t>
        </is>
      </c>
      <c r="H38" s="63" t="n">
        <v>1</v>
      </c>
      <c r="J38" s="65" t="n">
        <v>46387</v>
      </c>
      <c r="N38" s="65" t="n"/>
      <c r="O38" s="63" t="inlineStr">
        <is>
          <t>Pontus</t>
        </is>
      </c>
      <c r="R38" s="102" t="inlineStr">
        <is>
          <t>https://www.bgky.org/property-tax-search/invoices/156635</t>
        </is>
      </c>
      <c r="S38" s="95" t="n">
        <v>0</v>
      </c>
      <c r="T38" s="96" t="n"/>
      <c r="U38" s="97" t="inlineStr">
        <is>
          <t>2025-12-24</t>
        </is>
      </c>
      <c r="V38" s="95" t="n">
        <v>21063</v>
      </c>
      <c r="W38" s="97" t="inlineStr">
        <is>
          <t>2026-11-20</t>
        </is>
      </c>
      <c r="X38" s="98" t="inlineStr">
        <is>
          <t>https://www.bgky.org/property-tax-search/invoices/156635</t>
        </is>
      </c>
      <c r="Y38" s="98" t="n"/>
      <c r="Z38" s="98" t="n"/>
      <c r="AA38" s="98" t="inlineStr">
        <is>
          <t>TBD — replace with broker name + date</t>
        </is>
      </c>
      <c r="AB38" s="99" t="n">
        <v>2383000</v>
      </c>
      <c r="AC38" s="99" t="n">
        <v>2073000</v>
      </c>
      <c r="AD38" s="99" t="n">
        <v>1762000</v>
      </c>
      <c r="AE38" s="99" t="n">
        <v>2402000</v>
      </c>
      <c r="AF38" s="99" t="n">
        <v>2037000</v>
      </c>
      <c r="AG38" s="99" t="n">
        <v>1796000</v>
      </c>
      <c r="AH38" s="99" t="n">
        <v>2239000</v>
      </c>
      <c r="AI38" s="99">
        <f>AH38-AF38</f>
        <v/>
      </c>
      <c r="AJ38" s="100">
        <f>IF(AF38=0,"",AI38/AF38)</f>
        <v/>
      </c>
      <c r="AK38" s="101">
        <f>IF(AJ38="","",IF(AJ38&gt;=0.15,"STRONG",IF(AJ38&gt;=0.1,"FILE",IF(AJ38&gt;=0.07,"INVESTIGATE","PASS"))))</f>
        <v/>
      </c>
    </row>
    <row r="39" ht="15" customHeight="1" s="57">
      <c r="A39" s="106" t="inlineStr">
        <is>
          <t>1145 US Highway 70 W</t>
        </is>
      </c>
      <c r="B39" s="63" t="inlineStr">
        <is>
          <t>Garner</t>
        </is>
      </c>
      <c r="C39" s="63" t="inlineStr">
        <is>
          <t>NC</t>
        </is>
      </c>
      <c r="D39" s="90" t="n">
        <v>27529</v>
      </c>
      <c r="E39" s="91" t="inlineStr">
        <is>
          <t>Pontus Vault Portfolio, LLC</t>
        </is>
      </c>
      <c r="F39" s="63" t="inlineStr">
        <is>
          <t>VP1145</t>
        </is>
      </c>
      <c r="G39" s="91" t="n">
        <v>229546</v>
      </c>
      <c r="H39" s="63" t="n">
        <v>1</v>
      </c>
      <c r="J39" s="65" t="n">
        <v>46393</v>
      </c>
      <c r="N39" s="65" t="n"/>
      <c r="O39" s="63" t="inlineStr">
        <is>
          <t>Fifth Third</t>
        </is>
      </c>
      <c r="P39" s="63" t="inlineStr">
        <is>
          <t>Wake County</t>
        </is>
      </c>
      <c r="Q39" s="63" t="n">
        <v>9198565400</v>
      </c>
      <c r="R39" s="102" t="inlineStr">
        <is>
          <t>https://services.wake.gov/ptax/main/billing/acctsummary.aspx?search=acct&amp;yrs=2&amp;id=229546</t>
        </is>
      </c>
      <c r="S39" s="95" t="n">
        <v>57769</v>
      </c>
      <c r="T39" s="96" t="n"/>
      <c r="U39" s="104" t="n"/>
      <c r="V39" s="104" t="n"/>
      <c r="W39" s="104" t="n"/>
      <c r="X39" s="98" t="inlineStr">
        <is>
          <t>https://services.wake.gov/ptax/main/billing/acctsummary.aspx?search=acct&amp;yrs=2&amp;id=229546</t>
        </is>
      </c>
      <c r="Y39" s="98" t="n"/>
      <c r="Z39" s="98" t="n"/>
      <c r="AA39" s="98" t="inlineStr">
        <is>
          <t>TBD — replace with broker name + date</t>
        </is>
      </c>
      <c r="AB39" s="99" t="n">
        <v>4441000</v>
      </c>
      <c r="AC39" s="99" t="n">
        <v>3862000</v>
      </c>
      <c r="AD39" s="99" t="n">
        <v>3282000</v>
      </c>
      <c r="AE39" s="99" t="n">
        <v>4383000</v>
      </c>
      <c r="AF39" s="99" t="n">
        <v>3923000</v>
      </c>
      <c r="AG39" s="99" t="n">
        <v>3331000</v>
      </c>
      <c r="AH39" s="99" t="n">
        <v>3940000</v>
      </c>
      <c r="AI39" s="99">
        <f>AH39-AF39</f>
        <v/>
      </c>
      <c r="AJ39" s="100">
        <f>IF(AF39=0,"",AI39/AF39)</f>
        <v/>
      </c>
      <c r="AK39" s="101">
        <f>IF(AJ39="","",IF(AJ39&gt;=0.15,"STRONG",IF(AJ39&gt;=0.1,"FILE",IF(AJ39&gt;=0.07,"INVESTIGATE","PASS"))))</f>
        <v/>
      </c>
    </row>
    <row r="40" ht="15" customHeight="1" s="57">
      <c r="A40" s="89" t="inlineStr">
        <is>
          <t>4636 W Market St</t>
        </is>
      </c>
      <c r="B40" s="63" t="inlineStr">
        <is>
          <t>Greensboro</t>
        </is>
      </c>
      <c r="C40" s="63" t="inlineStr">
        <is>
          <t>NC</t>
        </is>
      </c>
      <c r="D40" s="90" t="n">
        <v>27407</v>
      </c>
      <c r="E40" s="91" t="inlineStr">
        <is>
          <t>Pontus Vault Portfolio, LLC</t>
        </is>
      </c>
      <c r="F40" s="63" t="inlineStr">
        <is>
          <t>VP4636</t>
        </is>
      </c>
      <c r="G40" s="91" t="n">
        <v>41737</v>
      </c>
      <c r="H40" s="63" t="n">
        <v>1</v>
      </c>
      <c r="I40" s="64" t="n">
        <v>46270</v>
      </c>
      <c r="J40" s="65" t="n">
        <v>46393</v>
      </c>
      <c r="N40" s="65" t="n"/>
      <c r="O40" s="63" t="inlineStr">
        <is>
          <t>Pontus</t>
        </is>
      </c>
      <c r="P40" s="63" t="inlineStr">
        <is>
          <t>Guilford County</t>
        </is>
      </c>
      <c r="Q40" s="63" t="n">
        <v>3366413363</v>
      </c>
      <c r="R40" s="102" t="inlineStr">
        <is>
          <t>https://bcpwa.ncptscloud.com/guilfordtax/BillDetails.aspx?BillPk=11242368</t>
        </is>
      </c>
      <c r="S40" s="95" t="n">
        <v>0</v>
      </c>
      <c r="T40" s="96" t="n"/>
      <c r="U40" s="97" t="inlineStr">
        <is>
          <t>2025-12-24</t>
        </is>
      </c>
      <c r="V40" s="95" t="n">
        <v>17532</v>
      </c>
      <c r="W40" s="97" t="inlineStr">
        <is>
          <t>2026-11-26</t>
        </is>
      </c>
      <c r="X40" s="98" t="inlineStr">
        <is>
          <t>https://bcpwa.ncptscloud.com/guilfordtax/BillDetails.aspx?BillPk=11242368</t>
        </is>
      </c>
      <c r="Y40" s="98" t="n"/>
      <c r="Z40" s="98" t="n"/>
      <c r="AA40" s="98" t="inlineStr">
        <is>
          <t>TBD — replace with broker name + date</t>
        </is>
      </c>
      <c r="AB40" s="99" t="n">
        <v>900000</v>
      </c>
      <c r="AC40" s="99" t="n">
        <v>783000</v>
      </c>
      <c r="AD40" s="99" t="n">
        <v>665000</v>
      </c>
      <c r="AE40" s="99" t="n">
        <v>907000</v>
      </c>
      <c r="AF40" s="99" t="n">
        <v>797000</v>
      </c>
      <c r="AG40" s="99" t="n">
        <v>666000</v>
      </c>
      <c r="AH40" s="99" t="n">
        <v>940000</v>
      </c>
      <c r="AI40" s="99">
        <f>AH40-AF40</f>
        <v/>
      </c>
      <c r="AJ40" s="100">
        <f>IF(AF40=0,"",AI40/AF40)</f>
        <v/>
      </c>
      <c r="AK40" s="101">
        <f>IF(AJ40="","",IF(AJ40&gt;=0.15,"STRONG",IF(AJ40&gt;=0.1,"FILE",IF(AJ40&gt;=0.07,"INVESTIGATE","PASS"))))</f>
        <v/>
      </c>
    </row>
    <row r="41" ht="15" customHeight="1" s="57">
      <c r="A41" s="62" t="inlineStr">
        <is>
          <t>2881 Bridgewood Drive</t>
        </is>
      </c>
      <c r="B41" s="63" t="inlineStr">
        <is>
          <t>Fayetteville</t>
        </is>
      </c>
      <c r="C41" s="63" t="inlineStr">
        <is>
          <t>NC</t>
        </is>
      </c>
      <c r="D41" s="90" t="n">
        <v>28301</v>
      </c>
      <c r="E41" s="91" t="inlineStr">
        <is>
          <t>Pontus QP Portfolio, LLC</t>
        </is>
      </c>
      <c r="F41" s="63" t="inlineStr">
        <is>
          <t>QP2881</t>
        </is>
      </c>
      <c r="G41" s="91" t="inlineStr">
        <is>
          <t>0435-14-5604-</t>
        </is>
      </c>
      <c r="H41" s="63" t="n">
        <v>1</v>
      </c>
      <c r="J41" s="65" t="n">
        <v>46394</v>
      </c>
      <c r="N41" s="65" t="n"/>
      <c r="O41" s="63" t="inlineStr">
        <is>
          <t>GPM</t>
        </is>
      </c>
      <c r="P41" s="63" t="inlineStr">
        <is>
          <t>Cumberland County</t>
        </is>
      </c>
      <c r="Q41" s="63" t="n">
        <v>9106787507</v>
      </c>
      <c r="R41" s="102" t="inlineStr">
        <is>
          <t>http://www.co.cumberland.nc.us/tax/payments/</t>
        </is>
      </c>
      <c r="S41" s="95" t="n">
        <v>0</v>
      </c>
      <c r="T41" s="96" t="n"/>
      <c r="U41" s="97" t="inlineStr">
        <is>
          <t>2025-11-20</t>
        </is>
      </c>
      <c r="V41" s="95" t="n">
        <v>7963</v>
      </c>
      <c r="W41" s="97" t="inlineStr">
        <is>
          <t>2026-12-20</t>
        </is>
      </c>
      <c r="X41" s="98" t="inlineStr">
        <is>
          <t>http://www.co.cumberland.nc.us/tax/payments/</t>
        </is>
      </c>
      <c r="Y41" s="98" t="n"/>
      <c r="Z41" s="98" t="n"/>
      <c r="AA41" s="98" t="inlineStr">
        <is>
          <t>TBD — replace with broker name + date</t>
        </is>
      </c>
      <c r="AB41" s="99" t="n">
        <v>3698000</v>
      </c>
      <c r="AC41" s="99" t="n">
        <v>3216000</v>
      </c>
      <c r="AD41" s="99" t="n">
        <v>2733000</v>
      </c>
      <c r="AE41" s="99" t="n">
        <v>3647000</v>
      </c>
      <c r="AF41" s="99" t="n">
        <v>3281000</v>
      </c>
      <c r="AG41" s="99" t="n">
        <v>2678000</v>
      </c>
      <c r="AH41" s="99" t="n">
        <v>3603000</v>
      </c>
      <c r="AI41" s="99">
        <f>AH41-AF41</f>
        <v/>
      </c>
      <c r="AJ41" s="100">
        <f>IF(AF41=0,"",AI41/AF41)</f>
        <v/>
      </c>
      <c r="AK41" s="101">
        <f>IF(AJ41="","",IF(AJ41&gt;=0.15,"STRONG",IF(AJ41&gt;=0.1,"FILE",IF(AJ41&gt;=0.07,"INVESTIGATE","PASS"))))</f>
        <v/>
      </c>
    </row>
    <row r="42" ht="15" customHeight="1" s="57">
      <c r="A42" s="89" t="inlineStr">
        <is>
          <t>160 Jeffrey Way</t>
        </is>
      </c>
      <c r="B42" s="63" t="inlineStr">
        <is>
          <t>Franklin</t>
        </is>
      </c>
      <c r="C42" s="63" t="inlineStr">
        <is>
          <t>NC</t>
        </is>
      </c>
      <c r="D42" s="90" t="n">
        <v>27596</v>
      </c>
      <c r="E42" s="91" t="inlineStr">
        <is>
          <t>Pontus QP Portfolio, LLC</t>
        </is>
      </c>
      <c r="F42" s="63" t="inlineStr">
        <is>
          <t>QP160</t>
        </is>
      </c>
      <c r="G42" s="91" t="n">
        <v>39353</v>
      </c>
      <c r="H42" s="63" t="n">
        <v>1</v>
      </c>
      <c r="J42" s="65" t="n">
        <v>46394</v>
      </c>
      <c r="N42" s="65" t="n"/>
      <c r="O42" s="63" t="inlineStr">
        <is>
          <t>GPM</t>
        </is>
      </c>
      <c r="P42" s="63" t="inlineStr">
        <is>
          <t>Franklin County</t>
        </is>
      </c>
      <c r="Q42" s="63" t="n">
        <v>9194962172</v>
      </c>
      <c r="R42" s="102" t="inlineStr">
        <is>
          <t>https://secure.webtaxpay.com/?county=franklin&amp;state=NC</t>
        </is>
      </c>
      <c r="S42" s="95" t="n">
        <v>0</v>
      </c>
      <c r="T42" s="96" t="n"/>
      <c r="U42" s="97" t="inlineStr">
        <is>
          <t>2025-11-23</t>
        </is>
      </c>
      <c r="V42" s="95" t="n">
        <v>9444</v>
      </c>
      <c r="W42" s="97" t="inlineStr">
        <is>
          <t>2026-12-25</t>
        </is>
      </c>
      <c r="X42" s="98" t="inlineStr">
        <is>
          <t>https://secure.webtaxpay.com/?county=franklin&amp;state=NC</t>
        </is>
      </c>
      <c r="Y42" s="98" t="inlineStr">
        <is>
          <t>https://example.com/x/property-42</t>
        </is>
      </c>
      <c r="Z42" s="98" t="n"/>
      <c r="AA42" s="98" t="inlineStr">
        <is>
          <t>TBD — replace with broker name + date</t>
        </is>
      </c>
      <c r="AB42" s="99" t="n">
        <v>484000</v>
      </c>
      <c r="AC42" s="99" t="n">
        <v>421000</v>
      </c>
      <c r="AD42" s="99" t="n">
        <v>357000</v>
      </c>
      <c r="AE42" s="99" t="n">
        <v>482000</v>
      </c>
      <c r="AF42" s="99" t="n">
        <v>419000</v>
      </c>
      <c r="AG42" s="99" t="n">
        <v>365000</v>
      </c>
      <c r="AH42" s="99" t="n">
        <v>455000</v>
      </c>
      <c r="AI42" s="99">
        <f>AH42-AF42</f>
        <v/>
      </c>
      <c r="AJ42" s="100">
        <f>IF(AF42=0,"",AI42/AF42)</f>
        <v/>
      </c>
      <c r="AK42" s="101">
        <f>IF(AJ42="","",IF(AJ42&gt;=0.15,"STRONG",IF(AJ42&gt;=0.1,"FILE",IF(AJ42&gt;=0.07,"INVESTIGATE","PASS"))))</f>
        <v/>
      </c>
    </row>
    <row r="43" ht="15" customHeight="1" s="57">
      <c r="A43" s="89" t="inlineStr">
        <is>
          <t>7301 Cessna Drive</t>
        </is>
      </c>
      <c r="B43" s="63" t="inlineStr">
        <is>
          <t>Greensboro</t>
        </is>
      </c>
      <c r="C43" s="63" t="inlineStr">
        <is>
          <t>NC</t>
        </is>
      </c>
      <c r="D43" s="90" t="n">
        <v>27409</v>
      </c>
      <c r="E43" s="91" t="inlineStr">
        <is>
          <t>Pontus QP Portfolio, LLC</t>
        </is>
      </c>
      <c r="F43" s="63" t="inlineStr">
        <is>
          <t>QP7301</t>
        </is>
      </c>
      <c r="G43" s="91" t="n">
        <v>98137</v>
      </c>
      <c r="H43" s="63" t="n">
        <v>1</v>
      </c>
      <c r="J43" s="65" t="n">
        <v>46394</v>
      </c>
      <c r="N43" s="65" t="n"/>
      <c r="O43" s="63" t="inlineStr">
        <is>
          <t>GPM</t>
        </is>
      </c>
      <c r="P43" s="63" t="inlineStr">
        <is>
          <t>Guilford County</t>
        </is>
      </c>
      <c r="Q43" s="63" t="n">
        <v>3366413363</v>
      </c>
      <c r="R43" s="102" t="inlineStr">
        <is>
          <t>http://taxweb.guilfordcountync.gov/PublicWebAccess/</t>
        </is>
      </c>
      <c r="S43" s="95" t="n">
        <v>0</v>
      </c>
      <c r="T43" s="96" t="n"/>
      <c r="U43" s="97" t="inlineStr">
        <is>
          <t>2025-11-10</t>
        </is>
      </c>
      <c r="V43" s="95" t="n">
        <v>19338</v>
      </c>
      <c r="W43" s="97" t="inlineStr">
        <is>
          <t>2026-11-16</t>
        </is>
      </c>
      <c r="X43" s="98" t="inlineStr">
        <is>
          <t>http://taxweb.guilfordcountync.gov/PublicWebAccess/</t>
        </is>
      </c>
      <c r="Y43" s="98" t="n"/>
      <c r="Z43" s="98" t="n"/>
      <c r="AA43" s="98" t="inlineStr">
        <is>
          <t>TBD — replace with broker name + date</t>
        </is>
      </c>
      <c r="AB43" s="99" t="n">
        <v>1888000</v>
      </c>
      <c r="AC43" s="99" t="n">
        <v>1642000</v>
      </c>
      <c r="AD43" s="99" t="n">
        <v>1395000</v>
      </c>
      <c r="AE43" s="99" t="n">
        <v>1853000</v>
      </c>
      <c r="AF43" s="99" t="n">
        <v>1646000</v>
      </c>
      <c r="AG43" s="99" t="n">
        <v>1398000</v>
      </c>
      <c r="AH43" s="99" t="n">
        <v>1675000</v>
      </c>
      <c r="AI43" s="99">
        <f>AH43-AF43</f>
        <v/>
      </c>
      <c r="AJ43" s="100">
        <f>IF(AF43=0,"",AI43/AF43)</f>
        <v/>
      </c>
      <c r="AK43" s="101">
        <f>IF(AJ43="","",IF(AJ43&gt;=0.15,"STRONG",IF(AJ43&gt;=0.1,"FILE",IF(AJ43&gt;=0.07,"INVESTIGATE","PASS"))))</f>
        <v/>
      </c>
    </row>
    <row r="44" ht="15" customHeight="1" s="57">
      <c r="A44" s="89" t="inlineStr">
        <is>
          <t>1210 East Trinity Avenue</t>
        </is>
      </c>
      <c r="B44" s="63" t="inlineStr">
        <is>
          <t>High Point</t>
        </is>
      </c>
      <c r="C44" s="63" t="inlineStr">
        <is>
          <t>NC</t>
        </is>
      </c>
      <c r="D44" s="90" t="n">
        <v>27260</v>
      </c>
      <c r="E44" s="91" t="inlineStr">
        <is>
          <t>Pontus QP Portfolio, LLC</t>
        </is>
      </c>
      <c r="F44" s="63" t="inlineStr">
        <is>
          <t>QP1210</t>
        </is>
      </c>
      <c r="G44" s="91" t="n">
        <v>195060</v>
      </c>
      <c r="H44" s="63" t="n">
        <v>1</v>
      </c>
      <c r="J44" s="65" t="n">
        <v>46394</v>
      </c>
      <c r="N44" s="65" t="n"/>
      <c r="O44" s="63" t="inlineStr">
        <is>
          <t>GPM</t>
        </is>
      </c>
      <c r="P44" s="63" t="inlineStr">
        <is>
          <t>Guilford County</t>
        </is>
      </c>
      <c r="Q44" s="63" t="n">
        <v>3366144814</v>
      </c>
      <c r="R44" s="102" t="inlineStr">
        <is>
          <t>http://taxweb.guilfordcountync.gov/PublicWebAccess/</t>
        </is>
      </c>
      <c r="S44" s="95" t="n">
        <v>0</v>
      </c>
      <c r="T44" s="96" t="n"/>
      <c r="U44" s="97" t="inlineStr">
        <is>
          <t>2025-11-25</t>
        </is>
      </c>
      <c r="V44" s="95" t="n">
        <v>14766</v>
      </c>
      <c r="W44" s="97" t="inlineStr">
        <is>
          <t>2026-12-26</t>
        </is>
      </c>
      <c r="X44" s="98" t="inlineStr">
        <is>
          <t>http://taxweb.guilfordcountync.gov/PublicWebAccess/</t>
        </is>
      </c>
      <c r="Y44" s="98" t="n"/>
      <c r="Z44" s="98" t="inlineStr">
        <is>
          <t>https://example.com/y/property-44</t>
        </is>
      </c>
      <c r="AA44" s="98" t="inlineStr">
        <is>
          <t>TBD — replace with broker name + date</t>
        </is>
      </c>
      <c r="AB44" s="99" t="n">
        <v>2364000</v>
      </c>
      <c r="AC44" s="99" t="n">
        <v>2056000</v>
      </c>
      <c r="AD44" s="99" t="n">
        <v>1747000</v>
      </c>
      <c r="AE44" s="99" t="n">
        <v>2406000</v>
      </c>
      <c r="AF44" s="99" t="n">
        <v>2086000</v>
      </c>
      <c r="AG44" s="99" t="n">
        <v>1743000</v>
      </c>
      <c r="AH44" s="99" t="n">
        <v>2468000</v>
      </c>
      <c r="AI44" s="99">
        <f>AH44-AF44</f>
        <v/>
      </c>
      <c r="AJ44" s="100">
        <f>IF(AF44=0,"",AI44/AF44)</f>
        <v/>
      </c>
      <c r="AK44" s="101">
        <f>IF(AJ44="","",IF(AJ44&gt;=0.15,"STRONG",IF(AJ44&gt;=0.1,"FILE",IF(AJ44&gt;=0.07,"INVESTIGATE","PASS"))))</f>
        <v/>
      </c>
    </row>
    <row r="45" ht="15" customHeight="1" s="57">
      <c r="A45" s="89" t="inlineStr">
        <is>
          <t>765 Indeneer Drive</t>
        </is>
      </c>
      <c r="B45" s="63" t="inlineStr">
        <is>
          <t>Kernersville</t>
        </is>
      </c>
      <c r="C45" s="63" t="inlineStr">
        <is>
          <t>NC</t>
        </is>
      </c>
      <c r="D45" s="90" t="n">
        <v>27284</v>
      </c>
      <c r="E45" s="91" t="inlineStr">
        <is>
          <t>Pontus QP Portfolio, LLC</t>
        </is>
      </c>
      <c r="F45" s="63" t="inlineStr">
        <is>
          <t>QP765</t>
        </is>
      </c>
      <c r="G45" s="91" t="inlineStr">
        <is>
          <t>6885-67-0458.000</t>
        </is>
      </c>
      <c r="H45" s="63" t="n">
        <v>1</v>
      </c>
      <c r="J45" s="65" t="n">
        <v>46394</v>
      </c>
      <c r="N45" s="65" t="n"/>
      <c r="O45" s="63" t="inlineStr">
        <is>
          <t>GPM</t>
        </is>
      </c>
      <c r="P45" s="63" t="inlineStr">
        <is>
          <t>Forsyth County</t>
        </is>
      </c>
      <c r="Q45" s="63" t="n">
        <v>3367032300</v>
      </c>
      <c r="R45" s="102" t="inlineStr">
        <is>
          <t>http://www.forsyth.cc/tax/taxbill.aspx</t>
        </is>
      </c>
      <c r="S45" s="95" t="n">
        <v>0</v>
      </c>
      <c r="T45" s="96" t="n"/>
      <c r="U45" s="97" t="inlineStr">
        <is>
          <t>2025-11-26</t>
        </is>
      </c>
      <c r="V45" s="95" t="n">
        <v>4737</v>
      </c>
      <c r="W45" s="97" t="inlineStr">
        <is>
          <t>2026-12-17</t>
        </is>
      </c>
      <c r="X45" s="98" t="inlineStr">
        <is>
          <t>http://www.forsyth.cc/tax/taxbill.aspx</t>
        </is>
      </c>
      <c r="Y45" s="98" t="n"/>
      <c r="Z45" s="98" t="n"/>
      <c r="AA45" s="98" t="inlineStr">
        <is>
          <t>TBD — replace with broker name + date</t>
        </is>
      </c>
      <c r="AB45" s="99" t="n">
        <v>350000</v>
      </c>
      <c r="AC45" s="99" t="n">
        <v>305000</v>
      </c>
      <c r="AD45" s="99" t="n">
        <v>259000</v>
      </c>
      <c r="AE45" s="99" t="n">
        <v>358000</v>
      </c>
      <c r="AF45" s="99" t="n">
        <v>301000</v>
      </c>
      <c r="AG45" s="99" t="n">
        <v>262000</v>
      </c>
      <c r="AH45" s="99" t="n">
        <v>342000</v>
      </c>
      <c r="AI45" s="99">
        <f>AH45-AF45</f>
        <v/>
      </c>
      <c r="AJ45" s="100">
        <f>IF(AF45=0,"",AI45/AF45)</f>
        <v/>
      </c>
      <c r="AK45" s="101">
        <f>IF(AJ45="","",IF(AJ45&gt;=0.15,"STRONG",IF(AJ45&gt;=0.1,"FILE",IF(AJ45&gt;=0.07,"INVESTIGATE","PASS"))))</f>
        <v/>
      </c>
    </row>
    <row r="46" ht="15" customHeight="1" s="57">
      <c r="A46" s="89" t="inlineStr">
        <is>
          <t>3916 Commerce Park Drive</t>
        </is>
      </c>
      <c r="B46" s="63" t="inlineStr">
        <is>
          <t>Raleigh</t>
        </is>
      </c>
      <c r="C46" s="63" t="inlineStr">
        <is>
          <t>NC</t>
        </is>
      </c>
      <c r="D46" s="90" t="n">
        <v>27610</v>
      </c>
      <c r="E46" s="91" t="inlineStr">
        <is>
          <t>Pontus QP Portfolio, LLC</t>
        </is>
      </c>
      <c r="F46" s="63" t="inlineStr">
        <is>
          <t>QP3916</t>
        </is>
      </c>
      <c r="G46" s="91" t="inlineStr">
        <is>
          <t>0219662</t>
        </is>
      </c>
      <c r="H46" s="63" t="n">
        <v>1</v>
      </c>
      <c r="J46" s="65" t="n">
        <v>46394</v>
      </c>
      <c r="N46" s="65" t="n"/>
      <c r="O46" s="63" t="inlineStr">
        <is>
          <t>GPM</t>
        </is>
      </c>
      <c r="P46" s="63" t="inlineStr">
        <is>
          <t>Wake County</t>
        </is>
      </c>
      <c r="Q46" s="63" t="n">
        <v>9198565400</v>
      </c>
      <c r="R46" s="102" t="inlineStr">
        <is>
          <t>http://www.wakegov.com/tax/Pages/default.aspx</t>
        </is>
      </c>
      <c r="S46" s="95" t="n">
        <v>0</v>
      </c>
      <c r="T46" s="96" t="n"/>
      <c r="U46" s="97" t="inlineStr">
        <is>
          <t>2025-11-11</t>
        </is>
      </c>
      <c r="V46" s="95" t="n">
        <v>22265</v>
      </c>
      <c r="W46" s="97" t="inlineStr">
        <is>
          <t>2026-11-18</t>
        </is>
      </c>
      <c r="X46" s="98" t="inlineStr">
        <is>
          <t>http://www.wakegov.com/tax/Pages/default.aspx</t>
        </is>
      </c>
      <c r="Y46" s="98" t="n"/>
      <c r="Z46" s="98" t="n"/>
      <c r="AA46" s="98" t="inlineStr">
        <is>
          <t>TBD — replace with broker name + date</t>
        </is>
      </c>
      <c r="AB46" s="99" t="n">
        <v>4444000</v>
      </c>
      <c r="AC46" s="99" t="n">
        <v>3865000</v>
      </c>
      <c r="AD46" s="99" t="n">
        <v>3285000</v>
      </c>
      <c r="AE46" s="99" t="n">
        <v>4508000</v>
      </c>
      <c r="AF46" s="99" t="n">
        <v>3885000</v>
      </c>
      <c r="AG46" s="99" t="n">
        <v>3212000</v>
      </c>
      <c r="AH46" s="99" t="n">
        <v>4175000</v>
      </c>
      <c r="AI46" s="99">
        <f>AH46-AF46</f>
        <v/>
      </c>
      <c r="AJ46" s="100">
        <f>IF(AF46=0,"",AI46/AF46)</f>
        <v/>
      </c>
      <c r="AK46" s="101">
        <f>IF(AJ46="","",IF(AJ46&gt;=0.15,"STRONG",IF(AJ46&gt;=0.1,"FILE",IF(AJ46&gt;=0.07,"INVESTIGATE","PASS"))))</f>
        <v/>
      </c>
    </row>
    <row r="47" ht="15" customHeight="1" s="57">
      <c r="A47" s="89" t="inlineStr">
        <is>
          <t>2483 North Church Street</t>
        </is>
      </c>
      <c r="B47" s="63" t="inlineStr">
        <is>
          <t>Rocky Mount</t>
        </is>
      </c>
      <c r="C47" s="63" t="inlineStr">
        <is>
          <t>NC</t>
        </is>
      </c>
      <c r="D47" s="90" t="n">
        <v>27804</v>
      </c>
      <c r="E47" s="91" t="inlineStr">
        <is>
          <t>Pontus QP Portfolio, LLC</t>
        </is>
      </c>
      <c r="F47" s="63" t="inlineStr">
        <is>
          <t>QP2483</t>
        </is>
      </c>
      <c r="G47" s="91" t="n">
        <v>34059</v>
      </c>
      <c r="H47" s="63" t="n">
        <v>1</v>
      </c>
      <c r="J47" s="65" t="n">
        <v>46394</v>
      </c>
      <c r="N47" s="65" t="n"/>
      <c r="O47" s="63" t="inlineStr">
        <is>
          <t>GPM</t>
        </is>
      </c>
      <c r="P47" s="63" t="inlineStr">
        <is>
          <t>Nash County</t>
        </is>
      </c>
      <c r="Q47" s="63" t="n">
        <v>2524599824</v>
      </c>
      <c r="R47" s="102" t="inlineStr">
        <is>
          <t>https://nashcountync.gov/498/Tax-Payments</t>
        </is>
      </c>
      <c r="S47" s="95" t="n">
        <v>0</v>
      </c>
      <c r="T47" s="96" t="n"/>
      <c r="U47" s="97" t="inlineStr">
        <is>
          <t>2025-11-23</t>
        </is>
      </c>
      <c r="V47" s="95" t="n">
        <v>3386</v>
      </c>
      <c r="W47" s="97" t="inlineStr">
        <is>
          <t>2026-11-13</t>
        </is>
      </c>
      <c r="X47" s="98" t="inlineStr">
        <is>
          <t>https://nashcountync.gov/498/Tax-Payments</t>
        </is>
      </c>
      <c r="Y47" s="98" t="n"/>
      <c r="Z47" s="98" t="n"/>
      <c r="AA47" s="98" t="inlineStr">
        <is>
          <t>TBD — replace with broker name + date</t>
        </is>
      </c>
      <c r="AB47" s="99" t="n">
        <v>4059000</v>
      </c>
      <c r="AC47" s="99" t="n">
        <v>3530000</v>
      </c>
      <c r="AD47" s="99" t="n">
        <v>3000000</v>
      </c>
      <c r="AE47" s="99" t="n">
        <v>4139000</v>
      </c>
      <c r="AF47" s="99" t="n">
        <v>3526000</v>
      </c>
      <c r="AG47" s="99" t="n">
        <v>3060000</v>
      </c>
      <c r="AH47" s="99" t="n">
        <v>3601000</v>
      </c>
      <c r="AI47" s="99">
        <f>AH47-AF47</f>
        <v/>
      </c>
      <c r="AJ47" s="100">
        <f>IF(AF47=0,"",AI47/AF47)</f>
        <v/>
      </c>
      <c r="AK47" s="101">
        <f>IF(AJ47="","",IF(AJ47&gt;=0.15,"STRONG",IF(AJ47&gt;=0.1,"FILE",IF(AJ47&gt;=0.07,"INVESTIGATE","PASS"))))</f>
        <v/>
      </c>
    </row>
    <row r="48" ht="15" customHeight="1" s="57">
      <c r="A48" s="89" t="inlineStr">
        <is>
          <t>2521 Empire Drive</t>
        </is>
      </c>
      <c r="B48" s="63" t="inlineStr">
        <is>
          <t>Winston-Salem</t>
        </is>
      </c>
      <c r="C48" s="63" t="inlineStr">
        <is>
          <t>NC</t>
        </is>
      </c>
      <c r="D48" s="90" t="n">
        <v>27103</v>
      </c>
      <c r="E48" s="91" t="inlineStr">
        <is>
          <t>Pontus QP Portfolio, LLC</t>
        </is>
      </c>
      <c r="F48" s="63" t="inlineStr">
        <is>
          <t>QP2521</t>
        </is>
      </c>
      <c r="G48" s="91" t="inlineStr">
        <is>
          <t>6803-97-3242.000</t>
        </is>
      </c>
      <c r="H48" s="63" t="n">
        <v>1</v>
      </c>
      <c r="J48" s="65" t="n">
        <v>46394</v>
      </c>
      <c r="N48" s="65" t="n"/>
      <c r="O48" s="63" t="inlineStr">
        <is>
          <t>GPM</t>
        </is>
      </c>
      <c r="P48" s="63" t="inlineStr">
        <is>
          <t>Forsyth County</t>
        </is>
      </c>
      <c r="Q48" s="63" t="n">
        <v>3367032300</v>
      </c>
      <c r="R48" s="102" t="inlineStr">
        <is>
          <t>http://www.forsyth.cc/tax/taxbill.aspx</t>
        </is>
      </c>
      <c r="S48" s="95" t="n">
        <v>0</v>
      </c>
      <c r="T48" s="96" t="n"/>
      <c r="U48" s="97" t="inlineStr">
        <is>
          <t>2025-12-19</t>
        </is>
      </c>
      <c r="V48" s="95" t="n">
        <v>12154</v>
      </c>
      <c r="W48" s="97" t="inlineStr">
        <is>
          <t>2026-11-15</t>
        </is>
      </c>
      <c r="X48" s="98" t="inlineStr">
        <is>
          <t>http://www.forsyth.cc/tax/taxbill.aspx</t>
        </is>
      </c>
      <c r="Y48" s="98" t="n"/>
      <c r="Z48" s="98" t="n"/>
      <c r="AA48" s="98" t="inlineStr">
        <is>
          <t>TBD — replace with broker name + date</t>
        </is>
      </c>
      <c r="AB48" s="99" t="n">
        <v>3505000</v>
      </c>
      <c r="AC48" s="99" t="n">
        <v>3048000</v>
      </c>
      <c r="AD48" s="99" t="n">
        <v>2590000</v>
      </c>
      <c r="AE48" s="99" t="n">
        <v>3546000</v>
      </c>
      <c r="AF48" s="99" t="n">
        <v>3017000</v>
      </c>
      <c r="AG48" s="99" t="n">
        <v>2640000</v>
      </c>
      <c r="AH48" s="99" t="n">
        <v>3658000</v>
      </c>
      <c r="AI48" s="99">
        <f>AH48-AF48</f>
        <v/>
      </c>
      <c r="AJ48" s="100">
        <f>IF(AF48=0,"",AI48/AF48)</f>
        <v/>
      </c>
      <c r="AK48" s="101">
        <f>IF(AJ48="","",IF(AJ48&gt;=0.15,"STRONG",IF(AJ48&gt;=0.1,"FILE",IF(AJ48&gt;=0.07,"INVESTIGATE","PASS"))))</f>
        <v/>
      </c>
    </row>
    <row r="49" ht="15" customHeight="1" s="57">
      <c r="A49" s="89" t="inlineStr">
        <is>
          <t>5423 N Lake Drive</t>
        </is>
      </c>
      <c r="B49" s="63" t="inlineStr">
        <is>
          <t>Morrow</t>
        </is>
      </c>
      <c r="C49" s="63" t="inlineStr">
        <is>
          <t>GA</t>
        </is>
      </c>
      <c r="D49" s="90" t="n">
        <v>30260</v>
      </c>
      <c r="E49" s="91" t="inlineStr">
        <is>
          <t>Pontus GCP Atlanta, LLC</t>
        </is>
      </c>
      <c r="F49" s="63" t="inlineStr">
        <is>
          <t>GCP5423</t>
        </is>
      </c>
      <c r="G49" s="91" t="inlineStr">
        <is>
          <t>2024-1288774</t>
        </is>
      </c>
      <c r="H49" s="63" t="n">
        <v>1</v>
      </c>
      <c r="J49" s="65" t="n">
        <v>46413</v>
      </c>
      <c r="O49" s="63" t="inlineStr">
        <is>
          <t>Kabob's</t>
        </is>
      </c>
      <c r="P49" s="63" t="inlineStr">
        <is>
          <t>Clayton County</t>
        </is>
      </c>
      <c r="R49" s="102" t="inlineStr">
        <is>
          <t>https://publicaccess.claytoncountyga.gov/search/CommonSearch.aspx?mode=REALPROP</t>
        </is>
      </c>
      <c r="S49" s="95" t="n">
        <v>0</v>
      </c>
      <c r="T49" s="96" t="n"/>
      <c r="U49" s="97" t="inlineStr">
        <is>
          <t>2025-11-24</t>
        </is>
      </c>
      <c r="V49" s="95" t="n">
        <v>4680</v>
      </c>
      <c r="W49" s="97" t="inlineStr">
        <is>
          <t>2026-12-12</t>
        </is>
      </c>
      <c r="X49" s="98" t="inlineStr">
        <is>
          <t>https://publicaccess.claytoncountyga.gov/search/CommonSearch.aspx?mode=REALPROP</t>
        </is>
      </c>
      <c r="Y49" s="98" t="inlineStr">
        <is>
          <t>https://example.com/x/property-49</t>
        </is>
      </c>
      <c r="Z49" s="98" t="n"/>
      <c r="AA49" s="98" t="inlineStr">
        <is>
          <t>TBD — replace with broker name + date</t>
        </is>
      </c>
      <c r="AB49" s="99" t="n">
        <v>4440000</v>
      </c>
      <c r="AC49" s="99" t="n">
        <v>3861000</v>
      </c>
      <c r="AD49" s="99" t="n">
        <v>3281000</v>
      </c>
      <c r="AE49" s="99" t="n">
        <v>4419000</v>
      </c>
      <c r="AF49" s="99" t="n">
        <v>3834000</v>
      </c>
      <c r="AG49" s="99" t="n">
        <v>3309000</v>
      </c>
      <c r="AH49" s="99" t="n">
        <v>4325000</v>
      </c>
      <c r="AI49" s="99">
        <f>AH49-AF49</f>
        <v/>
      </c>
      <c r="AJ49" s="100">
        <f>IF(AF49=0,"",AI49/AF49)</f>
        <v/>
      </c>
      <c r="AK49" s="101">
        <f>IF(AJ49="","",IF(AJ49&gt;=0.15,"STRONG",IF(AJ49&gt;=0.1,"FILE",IF(AJ49&gt;=0.07,"INVESTIGATE","PASS"))))</f>
        <v/>
      </c>
    </row>
    <row r="50" ht="15" customHeight="1" s="57">
      <c r="A50" s="89" t="inlineStr">
        <is>
          <t>5377 N Lake Drive</t>
        </is>
      </c>
      <c r="B50" s="63" t="inlineStr">
        <is>
          <t>Morrow</t>
        </is>
      </c>
      <c r="C50" s="63" t="inlineStr">
        <is>
          <t>GA</t>
        </is>
      </c>
      <c r="D50" s="90" t="n">
        <v>30260</v>
      </c>
      <c r="E50" s="91" t="inlineStr">
        <is>
          <t>Pontus GCP Atlanta, LLC</t>
        </is>
      </c>
      <c r="F50" s="63" t="inlineStr">
        <is>
          <t>GCP5377</t>
        </is>
      </c>
      <c r="G50" s="91" t="inlineStr">
        <is>
          <t>2024-1289365</t>
        </is>
      </c>
      <c r="H50" s="63" t="n">
        <v>1</v>
      </c>
      <c r="J50" s="65" t="n">
        <v>46413</v>
      </c>
      <c r="O50" s="63" t="inlineStr">
        <is>
          <t>Kabob's</t>
        </is>
      </c>
      <c r="P50" s="63" t="inlineStr">
        <is>
          <t>Clayton County</t>
        </is>
      </c>
      <c r="R50" s="102" t="inlineStr">
        <is>
          <t>https://publicaccess.claytoncountyga.gov/search/CommonSearch.aspx?mode=REALPROP</t>
        </is>
      </c>
      <c r="S50" s="95" t="n">
        <v>0</v>
      </c>
      <c r="T50" s="96" t="n"/>
      <c r="U50" s="97" t="inlineStr">
        <is>
          <t>2025-12-27</t>
        </is>
      </c>
      <c r="V50" s="95" t="n">
        <v>22075</v>
      </c>
      <c r="W50" s="97" t="inlineStr">
        <is>
          <t>2026-12-14</t>
        </is>
      </c>
      <c r="X50" s="98" t="inlineStr">
        <is>
          <t>https://publicaccess.claytoncountyga.gov/search/CommonSearch.aspx?mode=REALPROP</t>
        </is>
      </c>
      <c r="Y50" s="98" t="n"/>
      <c r="Z50" s="98" t="n"/>
      <c r="AA50" s="98" t="inlineStr">
        <is>
          <t>TBD — replace with broker name + date</t>
        </is>
      </c>
      <c r="AB50" s="99" t="n">
        <v>4751000</v>
      </c>
      <c r="AC50" s="99" t="n">
        <v>4132000</v>
      </c>
      <c r="AD50" s="99" t="n">
        <v>3512000</v>
      </c>
      <c r="AE50" s="99" t="n">
        <v>4816000</v>
      </c>
      <c r="AF50" s="99" t="n">
        <v>4118000</v>
      </c>
      <c r="AG50" s="99" t="n">
        <v>3426000</v>
      </c>
      <c r="AH50" s="99" t="n">
        <v>4463000</v>
      </c>
      <c r="AI50" s="99">
        <f>AH50-AF50</f>
        <v/>
      </c>
      <c r="AJ50" s="100">
        <f>IF(AF50=0,"",AI50/AF50)</f>
        <v/>
      </c>
      <c r="AK50" s="101">
        <f>IF(AJ50="","",IF(AJ50&gt;=0.15,"STRONG",IF(AJ50&gt;=0.1,"FILE",IF(AJ50&gt;=0.07,"INVESTIGATE","PASS"))))</f>
        <v/>
      </c>
    </row>
    <row r="51" ht="15" customHeight="1" s="57">
      <c r="A51" s="89" t="inlineStr">
        <is>
          <t>4225 Woods Place</t>
        </is>
      </c>
      <c r="B51" s="63" t="inlineStr">
        <is>
          <t>Abilene</t>
        </is>
      </c>
      <c r="C51" s="63" t="inlineStr">
        <is>
          <t>TX</t>
        </is>
      </c>
      <c r="D51" s="90" t="n">
        <v>79602</v>
      </c>
      <c r="E51" s="91" t="inlineStr">
        <is>
          <t>Pontus OH Abilene, LLC</t>
        </is>
      </c>
      <c r="F51" s="63" t="inlineStr">
        <is>
          <t>OH4225</t>
        </is>
      </c>
      <c r="G51" s="91" t="n">
        <v>68450000100</v>
      </c>
      <c r="H51" s="63" t="n">
        <v>1</v>
      </c>
      <c r="J51" s="65" t="n">
        <v>46418</v>
      </c>
      <c r="O51" s="63" t="inlineStr">
        <is>
          <t>Oceans</t>
        </is>
      </c>
      <c r="P51" s="63" t="inlineStr">
        <is>
          <t>Taylor County</t>
        </is>
      </c>
      <c r="Q51" s="63" t="n">
        <v>3256769381</v>
      </c>
      <c r="R51" s="102" t="inlineStr">
        <is>
          <t>www.taylor-cad.org</t>
        </is>
      </c>
      <c r="S51" s="95" t="n">
        <v>0</v>
      </c>
      <c r="T51" s="96" t="n"/>
      <c r="U51" s="97" t="inlineStr">
        <is>
          <t>2025-12-12</t>
        </is>
      </c>
      <c r="V51" s="95" t="n">
        <v>15160</v>
      </c>
      <c r="W51" s="97" t="inlineStr">
        <is>
          <t>2026-12-18</t>
        </is>
      </c>
      <c r="X51" s="98" t="inlineStr">
        <is>
          <t>www.taylor-cad.org</t>
        </is>
      </c>
      <c r="Y51" s="98" t="n"/>
      <c r="Z51" s="98" t="n"/>
      <c r="AA51" s="98" t="inlineStr">
        <is>
          <t>TBD — replace with broker name + date</t>
        </is>
      </c>
      <c r="AB51" s="99" t="n">
        <v>2587000</v>
      </c>
      <c r="AC51" s="99" t="n">
        <v>2250000</v>
      </c>
      <c r="AD51" s="99" t="n">
        <v>1912000</v>
      </c>
      <c r="AE51" s="99" t="n">
        <v>2512000</v>
      </c>
      <c r="AF51" s="99" t="n">
        <v>2190000</v>
      </c>
      <c r="AG51" s="99" t="n">
        <v>1885000</v>
      </c>
      <c r="AH51" s="99" t="n">
        <v>2296000</v>
      </c>
      <c r="AI51" s="99">
        <f>AH51-AF51</f>
        <v/>
      </c>
      <c r="AJ51" s="100">
        <f>IF(AF51=0,"",AI51/AF51)</f>
        <v/>
      </c>
      <c r="AK51" s="101">
        <f>IF(AJ51="","",IF(AJ51&gt;=0.15,"STRONG",IF(AJ51&gt;=0.1,"FILE",IF(AJ51&gt;=0.07,"INVESTIGATE","PASS"))))</f>
        <v/>
      </c>
    </row>
    <row r="52" ht="15" customHeight="1" s="57">
      <c r="A52" s="89" t="inlineStr">
        <is>
          <t>3300 South FM 1788</t>
        </is>
      </c>
      <c r="B52" s="63" t="inlineStr">
        <is>
          <t>Midland</t>
        </is>
      </c>
      <c r="C52" s="63" t="inlineStr">
        <is>
          <t>TX</t>
        </is>
      </c>
      <c r="D52" s="90" t="n">
        <v>79706</v>
      </c>
      <c r="E52" s="91" t="inlineStr">
        <is>
          <t>Pontus OH Midland, LLC</t>
        </is>
      </c>
      <c r="F52" s="63" t="inlineStr">
        <is>
          <t>OH3300</t>
        </is>
      </c>
      <c r="G52" s="91" t="inlineStr">
        <is>
          <t>R000020980</t>
        </is>
      </c>
      <c r="H52" s="63" t="n">
        <v>1</v>
      </c>
      <c r="J52" s="65" t="n">
        <v>46418</v>
      </c>
      <c r="O52" s="63" t="inlineStr">
        <is>
          <t>Oceans</t>
        </is>
      </c>
      <c r="P52" s="63" t="inlineStr">
        <is>
          <t>Midland Central Appraisal District</t>
        </is>
      </c>
      <c r="Q52" s="63" t="n">
        <v>4326994991</v>
      </c>
      <c r="R52" s="102" t="inlineStr">
        <is>
          <t>http://iswdataclient.azurewebsites.net/webSearchID.aspx?dbkey=midlandcad</t>
        </is>
      </c>
      <c r="S52" s="95" t="n">
        <v>79955</v>
      </c>
      <c r="T52" s="96" t="n"/>
      <c r="U52" s="104" t="n"/>
      <c r="V52" s="104" t="n"/>
      <c r="W52" s="104" t="n"/>
      <c r="X52" s="98" t="inlineStr">
        <is>
          <t>http://iswdataclient.azurewebsites.net/webSearchID.aspx?dbkey=midlandcad</t>
        </is>
      </c>
      <c r="Y52" s="98" t="n"/>
      <c r="Z52" s="98" t="n"/>
      <c r="AA52" s="98" t="inlineStr">
        <is>
          <t>TBD — replace with broker name + date</t>
        </is>
      </c>
      <c r="AB52" s="99" t="n">
        <v>3675000</v>
      </c>
      <c r="AC52" s="99" t="n">
        <v>3196000</v>
      </c>
      <c r="AD52" s="99" t="n">
        <v>2716000</v>
      </c>
      <c r="AE52" s="99" t="n">
        <v>3725000</v>
      </c>
      <c r="AF52" s="99" t="n">
        <v>3237000</v>
      </c>
      <c r="AG52" s="99" t="n">
        <v>2635000</v>
      </c>
      <c r="AH52" s="99" t="n">
        <v>3836000</v>
      </c>
      <c r="AI52" s="99">
        <f>AH52-AF52</f>
        <v/>
      </c>
      <c r="AJ52" s="100">
        <f>IF(AF52=0,"",AI52/AF52)</f>
        <v/>
      </c>
      <c r="AK52" s="101">
        <f>IF(AJ52="","",IF(AJ52&gt;=0.15,"STRONG",IF(AJ52&gt;=0.1,"FILE",IF(AJ52&gt;=0.07,"INVESTIGATE","PASS"))))</f>
        <v/>
      </c>
    </row>
    <row r="53" ht="15" customHeight="1" s="57">
      <c r="A53" s="89" t="inlineStr">
        <is>
          <t>1120 WI-67 (Suite B)</t>
        </is>
      </c>
      <c r="B53" s="63" t="inlineStr">
        <is>
          <t>Kiel</t>
        </is>
      </c>
      <c r="C53" s="63" t="inlineStr">
        <is>
          <t>WI</t>
        </is>
      </c>
      <c r="D53" s="90" t="n">
        <v>53042</v>
      </c>
      <c r="E53" s="91" t="inlineStr">
        <is>
          <t>PC Acquisition, LLC</t>
        </is>
      </c>
      <c r="F53" s="63" t="inlineStr">
        <is>
          <t>PCA1120b</t>
        </is>
      </c>
      <c r="G53" s="91" t="inlineStr">
        <is>
          <t>051-029-006-004.00</t>
        </is>
      </c>
      <c r="H53" s="63" t="n">
        <v>2</v>
      </c>
      <c r="J53" s="65" t="n">
        <v>46418</v>
      </c>
      <c r="K53" s="65" t="n">
        <v>46599</v>
      </c>
      <c r="O53" s="63" t="inlineStr">
        <is>
          <t>Pontus - CAM</t>
        </is>
      </c>
      <c r="P53" s="63" t="inlineStr">
        <is>
          <t>Manitowoc County</t>
        </is>
      </c>
      <c r="Q53" s="63" t="inlineStr">
        <is>
          <t>920-894-2909</t>
        </is>
      </c>
      <c r="R53" s="102" t="inlineStr">
        <is>
          <t>https://ascent.co.manitowoc.wi.us/LandRecords/PropertyListing/RealEstateTaxParcel#/Search</t>
        </is>
      </c>
      <c r="S53" s="95" t="n">
        <v>0</v>
      </c>
      <c r="T53" s="96" t="n"/>
      <c r="U53" s="97" t="inlineStr">
        <is>
          <t>2025-12-14</t>
        </is>
      </c>
      <c r="V53" s="95" t="n">
        <v>13352</v>
      </c>
      <c r="W53" s="97" t="inlineStr">
        <is>
          <t>2026-12-13</t>
        </is>
      </c>
      <c r="X53" s="98" t="inlineStr">
        <is>
          <t>https://ascent.co.manitowoc.wi.us/LandRecords/PropertyListing/RealEstateTaxParcel#/Search</t>
        </is>
      </c>
      <c r="Y53" s="98" t="n"/>
      <c r="Z53" s="98" t="n"/>
      <c r="AA53" s="98" t="inlineStr">
        <is>
          <t>TBD — replace with broker name + date</t>
        </is>
      </c>
      <c r="AB53" s="99" t="n">
        <v>4473000</v>
      </c>
      <c r="AC53" s="99" t="n">
        <v>3890000</v>
      </c>
      <c r="AD53" s="99" t="n">
        <v>3306000</v>
      </c>
      <c r="AE53" s="99" t="n">
        <v>4580000</v>
      </c>
      <c r="AF53" s="99" t="n">
        <v>3827000</v>
      </c>
      <c r="AG53" s="99" t="n">
        <v>3349000</v>
      </c>
      <c r="AH53" s="99" t="n">
        <v>4357000</v>
      </c>
      <c r="AI53" s="99">
        <f>AH53-AF53</f>
        <v/>
      </c>
      <c r="AJ53" s="100">
        <f>IF(AF53=0,"",AI53/AF53)</f>
        <v/>
      </c>
      <c r="AK53" s="101">
        <f>IF(AJ53="","",IF(AJ53&gt;=0.15,"STRONG",IF(AJ53&gt;=0.1,"FILE",IF(AJ53&gt;=0.07,"INVESTIGATE","PASS"))))</f>
        <v/>
      </c>
    </row>
    <row r="54" ht="15" customHeight="1" s="57">
      <c r="A54" s="89" t="inlineStr">
        <is>
          <t>1120 WI-67 (Suite A)</t>
        </is>
      </c>
      <c r="B54" s="63" t="inlineStr">
        <is>
          <t>Kiel</t>
        </is>
      </c>
      <c r="C54" s="63" t="inlineStr">
        <is>
          <t>WI</t>
        </is>
      </c>
      <c r="D54" s="90" t="n">
        <v>53042</v>
      </c>
      <c r="E54" s="91" t="inlineStr">
        <is>
          <t>PC Acquisition, LLC</t>
        </is>
      </c>
      <c r="F54" s="63" t="inlineStr">
        <is>
          <t>PCA1120a</t>
        </is>
      </c>
      <c r="G54" s="91" t="inlineStr">
        <is>
          <t>051-029-006-004.00</t>
        </is>
      </c>
      <c r="H54" s="63" t="n">
        <v>2</v>
      </c>
      <c r="J54" s="65" t="n">
        <v>46418</v>
      </c>
      <c r="K54" s="65" t="n">
        <v>46599</v>
      </c>
      <c r="O54" s="63" t="inlineStr">
        <is>
          <t>Pontus - CAM</t>
        </is>
      </c>
      <c r="P54" s="63" t="inlineStr">
        <is>
          <t>Manitowoc County</t>
        </is>
      </c>
      <c r="Q54" s="63" t="inlineStr">
        <is>
          <t>920-894-2909</t>
        </is>
      </c>
      <c r="R54" s="102" t="inlineStr">
        <is>
          <t>https://ascent.co.manitowoc.wi.us/LandRecords/PropertyListing/RealEstateTaxParcel#/Search</t>
        </is>
      </c>
      <c r="S54" s="95" t="n">
        <v>0</v>
      </c>
      <c r="T54" s="96" t="n"/>
      <c r="U54" s="97" t="inlineStr">
        <is>
          <t>2025-12-12</t>
        </is>
      </c>
      <c r="V54" s="95" t="n">
        <v>14775</v>
      </c>
      <c r="W54" s="97" t="inlineStr">
        <is>
          <t>2026-12-16</t>
        </is>
      </c>
      <c r="X54" s="98" t="inlineStr">
        <is>
          <t>https://ascent.co.manitowoc.wi.us/LandRecords/PropertyListing/RealEstateTaxParcel#/Search</t>
        </is>
      </c>
      <c r="Y54" s="98" t="n"/>
      <c r="Z54" s="98" t="n"/>
      <c r="AA54" s="98" t="inlineStr">
        <is>
          <t>TBD — replace with broker name + date</t>
        </is>
      </c>
      <c r="AB54" s="99" t="n">
        <v>2749000</v>
      </c>
      <c r="AC54" s="99" t="n">
        <v>2391000</v>
      </c>
      <c r="AD54" s="99" t="n">
        <v>2032000</v>
      </c>
      <c r="AE54" s="99" t="n">
        <v>2675000</v>
      </c>
      <c r="AF54" s="99" t="n">
        <v>2359000</v>
      </c>
      <c r="AG54" s="99" t="n">
        <v>2079000</v>
      </c>
      <c r="AH54" s="99" t="n">
        <v>2583000</v>
      </c>
      <c r="AI54" s="99">
        <f>AH54-AF54</f>
        <v/>
      </c>
      <c r="AJ54" s="100">
        <f>IF(AF54=0,"",AI54/AF54)</f>
        <v/>
      </c>
      <c r="AK54" s="101">
        <f>IF(AJ54="","",IF(AJ54&gt;=0.15,"STRONG",IF(AJ54&gt;=0.1,"FILE",IF(AJ54&gt;=0.07,"INVESTIGATE","PASS"))))</f>
        <v/>
      </c>
    </row>
    <row r="55" ht="15" customHeight="1" s="57">
      <c r="A55" s="89" t="inlineStr">
        <is>
          <t>18092 FM1314</t>
        </is>
      </c>
      <c r="B55" s="63" t="inlineStr">
        <is>
          <t>Conroe</t>
        </is>
      </c>
      <c r="C55" s="63" t="inlineStr">
        <is>
          <t>TX</t>
        </is>
      </c>
      <c r="D55" s="90" t="n">
        <v>77302</v>
      </c>
      <c r="E55" s="91" t="inlineStr">
        <is>
          <t>Pontus POG Portfolio II, LLC</t>
        </is>
      </c>
      <c r="F55" s="63" t="inlineStr">
        <is>
          <t>POG18092</t>
        </is>
      </c>
      <c r="G55" s="91" t="n">
        <v>94310000300</v>
      </c>
      <c r="H55" s="63" t="n">
        <v>1</v>
      </c>
      <c r="J55" s="65" t="n">
        <v>46418</v>
      </c>
      <c r="O55" s="63" t="inlineStr">
        <is>
          <t>Pinnacle</t>
        </is>
      </c>
      <c r="S55" s="95" t="n">
        <v>0</v>
      </c>
      <c r="T55" s="96" t="n"/>
      <c r="U55" s="97" t="inlineStr">
        <is>
          <t>2025-11-25</t>
        </is>
      </c>
      <c r="V55" s="95" t="n">
        <v>11848</v>
      </c>
      <c r="W55" s="97" t="inlineStr">
        <is>
          <t>2026-12-10</t>
        </is>
      </c>
      <c r="X55" s="98" t="inlineStr">
        <is>
          <t>https://example.com/w/property-55</t>
        </is>
      </c>
      <c r="Y55" s="98" t="n"/>
      <c r="Z55" s="98" t="inlineStr">
        <is>
          <t>https://example.com/y/property-55</t>
        </is>
      </c>
      <c r="AA55" s="98" t="inlineStr">
        <is>
          <t>TBD — replace with broker name + date</t>
        </is>
      </c>
      <c r="AB55" s="99" t="n">
        <v>2811000</v>
      </c>
      <c r="AC55" s="99" t="n">
        <v>2445000</v>
      </c>
      <c r="AD55" s="99" t="n">
        <v>2078000</v>
      </c>
      <c r="AE55" s="99" t="n">
        <v>2824000</v>
      </c>
      <c r="AF55" s="99" t="n">
        <v>2431000</v>
      </c>
      <c r="AG55" s="99" t="n">
        <v>2128000</v>
      </c>
      <c r="AH55" s="99" t="n">
        <v>2494000</v>
      </c>
      <c r="AI55" s="99">
        <f>AH55-AF55</f>
        <v/>
      </c>
      <c r="AJ55" s="100">
        <f>IF(AF55=0,"",AI55/AF55)</f>
        <v/>
      </c>
      <c r="AK55" s="101">
        <f>IF(AJ55="","",IF(AJ55&gt;=0.15,"STRONG",IF(AJ55&gt;=0.1,"FILE",IF(AJ55&gt;=0.07,"INVESTIGATE","PASS"))))</f>
        <v/>
      </c>
    </row>
    <row r="56" ht="15" customHeight="1" s="57">
      <c r="A56" s="89" t="inlineStr">
        <is>
          <t>16206 Spring Cypress Road</t>
        </is>
      </c>
      <c r="B56" s="63" t="inlineStr">
        <is>
          <t>Cypress</t>
        </is>
      </c>
      <c r="C56" s="63" t="inlineStr">
        <is>
          <t>TX</t>
        </is>
      </c>
      <c r="D56" s="90" t="n">
        <v>77429</v>
      </c>
      <c r="E56" s="91" t="inlineStr">
        <is>
          <t>Pontus POG Portfolio II, LLC</t>
        </is>
      </c>
      <c r="F56" s="63" t="inlineStr">
        <is>
          <t>POG16206</t>
        </is>
      </c>
      <c r="G56" s="91" t="n"/>
      <c r="H56" s="63" t="n">
        <v>1</v>
      </c>
      <c r="J56" s="65" t="n">
        <v>46418</v>
      </c>
      <c r="O56" s="63" t="inlineStr">
        <is>
          <t>Pinnacle</t>
        </is>
      </c>
      <c r="S56" s="95" t="n">
        <v>0</v>
      </c>
      <c r="T56" s="96" t="n"/>
      <c r="U56" s="97" t="inlineStr">
        <is>
          <t>2025-11-21</t>
        </is>
      </c>
      <c r="V56" s="95" t="n">
        <v>7947</v>
      </c>
      <c r="W56" s="97" t="inlineStr">
        <is>
          <t>2026-11-17</t>
        </is>
      </c>
      <c r="X56" s="98" t="inlineStr">
        <is>
          <t>https://example.com/w/property-56</t>
        </is>
      </c>
      <c r="Y56" s="98" t="inlineStr">
        <is>
          <t>https://example.com/x/property-56</t>
        </is>
      </c>
      <c r="Z56" s="98" t="n"/>
      <c r="AA56" s="98" t="inlineStr">
        <is>
          <t>TBD — replace with broker name + date</t>
        </is>
      </c>
      <c r="AB56" s="99" t="n">
        <v>1175000</v>
      </c>
      <c r="AC56" s="99" t="n">
        <v>1022000</v>
      </c>
      <c r="AD56" s="99" t="n">
        <v>868000</v>
      </c>
      <c r="AE56" s="99" t="n">
        <v>1165000</v>
      </c>
      <c r="AF56" s="99" t="n">
        <v>1046000</v>
      </c>
      <c r="AG56" s="99" t="n">
        <v>886000</v>
      </c>
      <c r="AH56" s="99" t="n">
        <v>1227000</v>
      </c>
      <c r="AI56" s="99">
        <f>AH56-AF56</f>
        <v/>
      </c>
      <c r="AJ56" s="100">
        <f>IF(AF56=0,"",AI56/AF56)</f>
        <v/>
      </c>
      <c r="AK56" s="101">
        <f>IF(AJ56="","",IF(AJ56&gt;=0.15,"STRONG",IF(AJ56&gt;=0.1,"FILE",IF(AJ56&gt;=0.07,"INVESTIGATE","PASS"))))</f>
        <v/>
      </c>
    </row>
    <row r="57" ht="15" customHeight="1" s="57">
      <c r="A57" s="89" t="inlineStr">
        <is>
          <t>776 NE Alsbury</t>
        </is>
      </c>
      <c r="B57" s="107" t="inlineStr">
        <is>
          <t>Burleson</t>
        </is>
      </c>
      <c r="C57" s="63" t="inlineStr">
        <is>
          <t>TX</t>
        </is>
      </c>
      <c r="D57" s="90" t="n">
        <v>76028</v>
      </c>
      <c r="E57" s="91" t="inlineStr">
        <is>
          <t>Pontus POG Portfolio, LLC</t>
        </is>
      </c>
      <c r="F57" s="63" t="inlineStr">
        <is>
          <t>POG776</t>
        </is>
      </c>
      <c r="G57" s="91" t="n"/>
      <c r="H57" s="63" t="n">
        <v>1</v>
      </c>
      <c r="J57" s="65" t="n">
        <v>46418</v>
      </c>
      <c r="O57" s="63" t="inlineStr">
        <is>
          <t>Pinnacle</t>
        </is>
      </c>
      <c r="S57" s="95" t="n">
        <v>0</v>
      </c>
      <c r="T57" s="96" t="n"/>
      <c r="U57" s="97" t="inlineStr">
        <is>
          <t>2025-11-16</t>
        </is>
      </c>
      <c r="V57" s="95" t="n">
        <v>15275</v>
      </c>
      <c r="W57" s="97" t="inlineStr">
        <is>
          <t>2026-12-10</t>
        </is>
      </c>
      <c r="X57" s="98" t="inlineStr">
        <is>
          <t>https://example.com/w/property-57</t>
        </is>
      </c>
      <c r="Y57" s="98" t="n"/>
      <c r="Z57" s="98" t="n"/>
      <c r="AA57" s="98" t="inlineStr">
        <is>
          <t>TBD — replace with broker name + date</t>
        </is>
      </c>
      <c r="AB57" s="99" t="n">
        <v>2608000</v>
      </c>
      <c r="AC57" s="99" t="n">
        <v>2268000</v>
      </c>
      <c r="AD57" s="99" t="n">
        <v>1927000</v>
      </c>
      <c r="AE57" s="99" t="n">
        <v>2599000</v>
      </c>
      <c r="AF57" s="99" t="n">
        <v>2272000</v>
      </c>
      <c r="AG57" s="99" t="n">
        <v>1968000</v>
      </c>
      <c r="AH57" s="99" t="n">
        <v>2541000</v>
      </c>
      <c r="AI57" s="99">
        <f>AH57-AF57</f>
        <v/>
      </c>
      <c r="AJ57" s="100">
        <f>IF(AF57=0,"",AI57/AF57)</f>
        <v/>
      </c>
      <c r="AK57" s="101">
        <f>IF(AJ57="","",IF(AJ57&gt;=0.15,"STRONG",IF(AJ57&gt;=0.1,"FILE",IF(AJ57&gt;=0.07,"INVESTIGATE","PASS"))))</f>
        <v/>
      </c>
    </row>
    <row r="58" ht="15" customHeight="1" s="57">
      <c r="A58" s="89" t="inlineStr">
        <is>
          <t>2819 I-30</t>
        </is>
      </c>
      <c r="B58" s="107" t="inlineStr">
        <is>
          <t>Caddo Mills</t>
        </is>
      </c>
      <c r="C58" s="63" t="inlineStr">
        <is>
          <t>TX</t>
        </is>
      </c>
      <c r="D58" s="90" t="n">
        <v>75135</v>
      </c>
      <c r="E58" s="91" t="inlineStr">
        <is>
          <t>Pontus POG Portfolio, LLC</t>
        </is>
      </c>
      <c r="F58" s="63" t="inlineStr">
        <is>
          <t>POG2819</t>
        </is>
      </c>
      <c r="G58" s="91" t="n">
        <v>23748</v>
      </c>
      <c r="H58" s="63" t="n">
        <v>1</v>
      </c>
      <c r="J58" s="65" t="n">
        <v>46418</v>
      </c>
      <c r="O58" s="63" t="inlineStr">
        <is>
          <t>Pinnacle</t>
        </is>
      </c>
      <c r="P58" s="63" t="inlineStr">
        <is>
          <t>Hunt</t>
        </is>
      </c>
      <c r="R58" s="102" t="inlineStr">
        <is>
          <t>https://esearch.hctax.info/Property/View/23748?year=2024&amp;ownerId=1385747</t>
        </is>
      </c>
      <c r="S58" s="95" t="n">
        <v>0</v>
      </c>
      <c r="T58" s="96" t="n"/>
      <c r="U58" s="97" t="inlineStr">
        <is>
          <t>2025-12-18</t>
        </is>
      </c>
      <c r="V58" s="95" t="n">
        <v>14210</v>
      </c>
      <c r="W58" s="97" t="inlineStr">
        <is>
          <t>2026-12-15</t>
        </is>
      </c>
      <c r="X58" s="98" t="inlineStr">
        <is>
          <t>https://esearch.hctax.info/Property/View/23748?year=2024&amp;ownerId=1385747</t>
        </is>
      </c>
      <c r="Y58" s="98" t="n"/>
      <c r="Z58" s="98" t="n"/>
      <c r="AA58" s="98" t="inlineStr">
        <is>
          <t>TBD — replace with broker name + date</t>
        </is>
      </c>
      <c r="AB58" s="99" t="n">
        <v>3571000</v>
      </c>
      <c r="AC58" s="99" t="n">
        <v>3106000</v>
      </c>
      <c r="AD58" s="99" t="n">
        <v>2640000</v>
      </c>
      <c r="AE58" s="99" t="n">
        <v>3486000</v>
      </c>
      <c r="AF58" s="99" t="n">
        <v>3023000</v>
      </c>
      <c r="AG58" s="99" t="n">
        <v>2672000</v>
      </c>
      <c r="AH58" s="99" t="n">
        <v>3355000</v>
      </c>
      <c r="AI58" s="99">
        <f>AH58-AF58</f>
        <v/>
      </c>
      <c r="AJ58" s="100">
        <f>IF(AF58=0,"",AI58/AF58)</f>
        <v/>
      </c>
      <c r="AK58" s="101">
        <f>IF(AJ58="","",IF(AJ58&gt;=0.15,"STRONG",IF(AJ58&gt;=0.1,"FILE",IF(AJ58&gt;=0.07,"INVESTIGATE","PASS"))))</f>
        <v/>
      </c>
    </row>
    <row r="59" ht="15" customHeight="1" s="57">
      <c r="A59" s="89" t="inlineStr">
        <is>
          <t>3204 Alta Mere</t>
        </is>
      </c>
      <c r="B59" s="107" t="inlineStr">
        <is>
          <t xml:space="preserve">Fort Worth </t>
        </is>
      </c>
      <c r="C59" s="63" t="inlineStr">
        <is>
          <t>TX</t>
        </is>
      </c>
      <c r="D59" s="90" t="n">
        <v>76116</v>
      </c>
      <c r="E59" s="91" t="inlineStr">
        <is>
          <t>Pontus POG Portfolio, LLC</t>
        </is>
      </c>
      <c r="F59" s="63" t="inlineStr">
        <is>
          <t>POG3204</t>
        </is>
      </c>
      <c r="G59" s="91" t="n"/>
      <c r="H59" s="63" t="n">
        <v>1</v>
      </c>
      <c r="J59" s="65" t="n">
        <v>46418</v>
      </c>
      <c r="O59" s="63" t="inlineStr">
        <is>
          <t>Pinnacle</t>
        </is>
      </c>
      <c r="S59" s="95" t="n">
        <v>0</v>
      </c>
      <c r="T59" s="96" t="n"/>
      <c r="U59" s="97" t="inlineStr">
        <is>
          <t>2025-12-21</t>
        </is>
      </c>
      <c r="V59" s="95" t="n">
        <v>15753</v>
      </c>
      <c r="W59" s="97" t="inlineStr">
        <is>
          <t>2026-12-26</t>
        </is>
      </c>
      <c r="X59" s="98" t="inlineStr">
        <is>
          <t>https://example.com/w/property-59</t>
        </is>
      </c>
      <c r="Y59" s="98" t="n"/>
      <c r="Z59" s="98" t="n"/>
      <c r="AA59" s="98" t="inlineStr">
        <is>
          <t>TBD — replace with broker name + date</t>
        </is>
      </c>
      <c r="AB59" s="99" t="n">
        <v>2124000</v>
      </c>
      <c r="AC59" s="99" t="n">
        <v>1847000</v>
      </c>
      <c r="AD59" s="99" t="n">
        <v>1569000</v>
      </c>
      <c r="AE59" s="99" t="n">
        <v>2169000</v>
      </c>
      <c r="AF59" s="99" t="n">
        <v>1821000</v>
      </c>
      <c r="AG59" s="99" t="n">
        <v>1535000</v>
      </c>
      <c r="AH59" s="99" t="n">
        <v>1884000</v>
      </c>
      <c r="AI59" s="99">
        <f>AH59-AF59</f>
        <v/>
      </c>
      <c r="AJ59" s="100">
        <f>IF(AF59=0,"",AI59/AF59)</f>
        <v/>
      </c>
      <c r="AK59" s="101">
        <f>IF(AJ59="","",IF(AJ59&gt;=0.15,"STRONG",IF(AJ59&gt;=0.1,"FILE",IF(AJ59&gt;=0.07,"INVESTIGATE","PASS"))))</f>
        <v/>
      </c>
    </row>
    <row r="60" ht="15" customHeight="1" s="57">
      <c r="A60" s="89" t="inlineStr">
        <is>
          <t>1406 West Gulf Bank Rd</t>
        </is>
      </c>
      <c r="B60" s="107" t="inlineStr">
        <is>
          <t>Houston</t>
        </is>
      </c>
      <c r="C60" s="63" t="inlineStr">
        <is>
          <t>TX</t>
        </is>
      </c>
      <c r="D60" s="90" t="n">
        <v>77088</v>
      </c>
      <c r="E60" s="91" t="inlineStr">
        <is>
          <t>Pontus POG Portfolio, LLC</t>
        </is>
      </c>
      <c r="F60" s="63" t="inlineStr">
        <is>
          <t>POG1406</t>
        </is>
      </c>
      <c r="G60" s="91" t="inlineStr">
        <is>
          <t xml:space="preserve">102-050-000-0014	</t>
        </is>
      </c>
      <c r="H60" s="63" t="n">
        <v>1</v>
      </c>
      <c r="J60" s="65" t="n">
        <v>46418</v>
      </c>
      <c r="O60" s="63" t="inlineStr">
        <is>
          <t>Pinnacle</t>
        </is>
      </c>
      <c r="S60" s="95" t="n">
        <v>0</v>
      </c>
      <c r="T60" s="96" t="n"/>
      <c r="U60" s="97" t="inlineStr">
        <is>
          <t>2025-11-18</t>
        </is>
      </c>
      <c r="V60" s="95" t="n">
        <v>11582</v>
      </c>
      <c r="W60" s="97" t="inlineStr">
        <is>
          <t>2026-12-26</t>
        </is>
      </c>
      <c r="X60" s="98" t="inlineStr">
        <is>
          <t>https://example.com/w/property-60</t>
        </is>
      </c>
      <c r="Y60" s="98" t="n"/>
      <c r="Z60" s="98" t="n"/>
      <c r="AA60" s="98" t="inlineStr">
        <is>
          <t>TBD — replace with broker name + date</t>
        </is>
      </c>
      <c r="AB60" s="99" t="n">
        <v>4313000</v>
      </c>
      <c r="AC60" s="99" t="n">
        <v>3751000</v>
      </c>
      <c r="AD60" s="99" t="n">
        <v>3188000</v>
      </c>
      <c r="AE60" s="99" t="n">
        <v>4368000</v>
      </c>
      <c r="AF60" s="99" t="n">
        <v>3666000</v>
      </c>
      <c r="AG60" s="99" t="n">
        <v>3206000</v>
      </c>
      <c r="AH60" s="99" t="n">
        <v>4502000</v>
      </c>
      <c r="AI60" s="99">
        <f>AH60-AF60</f>
        <v/>
      </c>
      <c r="AJ60" s="100">
        <f>IF(AF60=0,"",AI60/AF60)</f>
        <v/>
      </c>
      <c r="AK60" s="101">
        <f>IF(AJ60="","",IF(AJ60&gt;=0.15,"STRONG",IF(AJ60&gt;=0.1,"FILE",IF(AJ60&gt;=0.07,"INVESTIGATE","PASS"))))</f>
        <v/>
      </c>
    </row>
    <row r="61" ht="15" customHeight="1" s="57">
      <c r="A61" s="89" t="inlineStr">
        <is>
          <t>2221 Ella Blvd</t>
        </is>
      </c>
      <c r="B61" s="107" t="inlineStr">
        <is>
          <t>Houston</t>
        </is>
      </c>
      <c r="C61" s="63" t="inlineStr">
        <is>
          <t>TX</t>
        </is>
      </c>
      <c r="D61" s="90" t="n">
        <v>77008</v>
      </c>
      <c r="E61" s="91" t="inlineStr">
        <is>
          <t>Pontus POG Portfolio, LLC</t>
        </is>
      </c>
      <c r="F61" s="63" t="inlineStr">
        <is>
          <t>POG2221</t>
        </is>
      </c>
      <c r="G61" s="91" t="n"/>
      <c r="H61" s="63" t="n">
        <v>1</v>
      </c>
      <c r="J61" s="65" t="n">
        <v>46418</v>
      </c>
      <c r="O61" s="63" t="inlineStr">
        <is>
          <t>Pinnacle</t>
        </is>
      </c>
      <c r="S61" s="95" t="n">
        <v>0</v>
      </c>
      <c r="T61" s="96" t="n"/>
      <c r="U61" s="97" t="inlineStr">
        <is>
          <t>2025-11-27</t>
        </is>
      </c>
      <c r="V61" s="95" t="n">
        <v>12966</v>
      </c>
      <c r="W61" s="97" t="inlineStr">
        <is>
          <t>2026-11-13</t>
        </is>
      </c>
      <c r="X61" s="98" t="inlineStr">
        <is>
          <t>https://example.com/w/property-61</t>
        </is>
      </c>
      <c r="Y61" s="98" t="n"/>
      <c r="Z61" s="98" t="n"/>
      <c r="AA61" s="98" t="inlineStr">
        <is>
          <t>TBD — replace with broker name + date</t>
        </is>
      </c>
      <c r="AB61" s="99" t="n">
        <v>818000</v>
      </c>
      <c r="AC61" s="99" t="n">
        <v>712000</v>
      </c>
      <c r="AD61" s="99" t="n">
        <v>605000</v>
      </c>
      <c r="AE61" s="99" t="n">
        <v>818000</v>
      </c>
      <c r="AF61" s="99" t="n">
        <v>733000</v>
      </c>
      <c r="AG61" s="99" t="n">
        <v>596000</v>
      </c>
      <c r="AH61" s="99" t="n">
        <v>798000</v>
      </c>
      <c r="AI61" s="99">
        <f>AH61-AF61</f>
        <v/>
      </c>
      <c r="AJ61" s="100">
        <f>IF(AF61=0,"",AI61/AF61)</f>
        <v/>
      </c>
      <c r="AK61" s="101">
        <f>IF(AJ61="","",IF(AJ61&gt;=0.15,"STRONG",IF(AJ61&gt;=0.1,"FILE",IF(AJ61&gt;=0.07,"INVESTIGATE","PASS"))))</f>
        <v/>
      </c>
    </row>
    <row r="62" ht="15" customHeight="1" s="57">
      <c r="A62" s="89" t="inlineStr">
        <is>
          <t>725 W Round Grove Rd</t>
        </is>
      </c>
      <c r="B62" s="107" t="inlineStr">
        <is>
          <t>Lewisville</t>
        </is>
      </c>
      <c r="C62" s="63" t="inlineStr">
        <is>
          <t>TX</t>
        </is>
      </c>
      <c r="D62" s="90" t="n">
        <v>75067</v>
      </c>
      <c r="E62" s="91" t="inlineStr">
        <is>
          <t>Pontus POG Portfolio, LLC</t>
        </is>
      </c>
      <c r="F62" s="63" t="inlineStr">
        <is>
          <t>POG725</t>
        </is>
      </c>
      <c r="G62" s="91" t="n"/>
      <c r="H62" s="63" t="n">
        <v>1</v>
      </c>
      <c r="J62" s="65" t="n">
        <v>46418</v>
      </c>
      <c r="O62" s="63" t="inlineStr">
        <is>
          <t>Pinnacle</t>
        </is>
      </c>
      <c r="R62" s="102" t="inlineStr">
        <is>
          <t>https://taxweb.dentoncounty.gov/Accounts/AccountDetails?taxAccountNumber=204320DEN</t>
        </is>
      </c>
      <c r="S62" s="95" t="n">
        <v>0</v>
      </c>
      <c r="T62" s="96" t="n"/>
      <c r="U62" s="97" t="inlineStr">
        <is>
          <t>2025-11-22</t>
        </is>
      </c>
      <c r="V62" s="95" t="n">
        <v>20143</v>
      </c>
      <c r="W62" s="97" t="inlineStr">
        <is>
          <t>2026-11-20</t>
        </is>
      </c>
      <c r="X62" s="98" t="inlineStr">
        <is>
          <t>https://taxweb.dentoncounty.gov/Accounts/AccountDetails?taxAccountNumber=204320DEN</t>
        </is>
      </c>
      <c r="Y62" s="98" t="n"/>
      <c r="Z62" s="98" t="n"/>
      <c r="AA62" s="98" t="inlineStr">
        <is>
          <t>TBD — replace with broker name + date</t>
        </is>
      </c>
      <c r="AB62" s="99" t="n">
        <v>265000</v>
      </c>
      <c r="AC62" s="99" t="n">
        <v>231000</v>
      </c>
      <c r="AD62" s="99" t="n">
        <v>196000</v>
      </c>
      <c r="AE62" s="99" t="n">
        <v>257000</v>
      </c>
      <c r="AF62" s="99" t="n">
        <v>227000</v>
      </c>
      <c r="AG62" s="99" t="n">
        <v>199000</v>
      </c>
      <c r="AH62" s="99" t="n">
        <v>250000</v>
      </c>
      <c r="AI62" s="99">
        <f>AH62-AF62</f>
        <v/>
      </c>
      <c r="AJ62" s="100">
        <f>IF(AF62=0,"",AI62/AF62)</f>
        <v/>
      </c>
      <c r="AK62" s="101">
        <f>IF(AJ62="","",IF(AJ62&gt;=0.15,"STRONG",IF(AJ62&gt;=0.1,"FILE",IF(AJ62&gt;=0.07,"INVESTIGATE","PASS"))))</f>
        <v/>
      </c>
    </row>
    <row r="63" ht="15" customHeight="1" s="57">
      <c r="A63" s="89" t="inlineStr">
        <is>
          <t>811 Strickland Drive</t>
        </is>
      </c>
      <c r="B63" s="107" t="inlineStr">
        <is>
          <t>Orange</t>
        </is>
      </c>
      <c r="C63" s="63" t="inlineStr">
        <is>
          <t>TX</t>
        </is>
      </c>
      <c r="D63" s="90" t="n">
        <v>77630</v>
      </c>
      <c r="E63" s="91" t="inlineStr">
        <is>
          <t>Pontus POG Portfolio, LLC</t>
        </is>
      </c>
      <c r="F63" s="63" t="inlineStr">
        <is>
          <t>POG811</t>
        </is>
      </c>
      <c r="G63" s="91" t="n"/>
      <c r="H63" s="63" t="n">
        <v>1</v>
      </c>
      <c r="J63" s="65" t="n">
        <v>46418</v>
      </c>
      <c r="O63" s="63" t="inlineStr">
        <is>
          <t>Pinnacle</t>
        </is>
      </c>
      <c r="S63" s="95" t="n">
        <v>0</v>
      </c>
      <c r="T63" s="96" t="n"/>
      <c r="U63" s="97" t="inlineStr">
        <is>
          <t>2025-11-26</t>
        </is>
      </c>
      <c r="V63" s="95" t="n">
        <v>13162</v>
      </c>
      <c r="W63" s="97" t="inlineStr">
        <is>
          <t>2026-12-24</t>
        </is>
      </c>
      <c r="X63" s="98" t="inlineStr">
        <is>
          <t>https://example.com/w/property-63</t>
        </is>
      </c>
      <c r="Y63" s="98" t="inlineStr">
        <is>
          <t>https://example.com/x/property-63</t>
        </is>
      </c>
      <c r="Z63" s="98" t="n"/>
      <c r="AA63" s="98" t="inlineStr">
        <is>
          <t>TBD — replace with broker name + date</t>
        </is>
      </c>
      <c r="AB63" s="99" t="n">
        <v>3952000</v>
      </c>
      <c r="AC63" s="99" t="n">
        <v>3437000</v>
      </c>
      <c r="AD63" s="99" t="n">
        <v>2921000</v>
      </c>
      <c r="AE63" s="99" t="n">
        <v>4053000</v>
      </c>
      <c r="AF63" s="99" t="n">
        <v>3366000</v>
      </c>
      <c r="AG63" s="99" t="n">
        <v>2924000</v>
      </c>
      <c r="AH63" s="99" t="n">
        <v>3506000</v>
      </c>
      <c r="AI63" s="99">
        <f>AH63-AF63</f>
        <v/>
      </c>
      <c r="AJ63" s="100">
        <f>IF(AF63=0,"",AI63/AF63)</f>
        <v/>
      </c>
      <c r="AK63" s="101">
        <f>IF(AJ63="","",IF(AJ63&gt;=0.15,"STRONG",IF(AJ63&gt;=0.1,"FILE",IF(AJ63&gt;=0.07,"INVESTIGATE","PASS"))))</f>
        <v/>
      </c>
    </row>
    <row r="64" ht="15" customHeight="1" s="57">
      <c r="A64" s="89" t="inlineStr">
        <is>
          <t>2520 Hwy 146</t>
        </is>
      </c>
      <c r="B64" s="107" t="inlineStr">
        <is>
          <t xml:space="preserve">Texas City </t>
        </is>
      </c>
      <c r="C64" s="63" t="inlineStr">
        <is>
          <t>TX</t>
        </is>
      </c>
      <c r="D64" s="90" t="n">
        <v>77590</v>
      </c>
      <c r="E64" s="91" t="inlineStr">
        <is>
          <t>Pontus POG Portfolio, LLC</t>
        </is>
      </c>
      <c r="F64" s="63" t="inlineStr">
        <is>
          <t>POG2520</t>
        </is>
      </c>
      <c r="G64" s="91" t="n"/>
      <c r="H64" s="63" t="n">
        <v>1</v>
      </c>
      <c r="J64" s="65" t="n">
        <v>46418</v>
      </c>
      <c r="O64" s="63" t="inlineStr">
        <is>
          <t>Pinnacle</t>
        </is>
      </c>
      <c r="S64" s="95" t="n">
        <v>0</v>
      </c>
      <c r="T64" s="96" t="n"/>
      <c r="U64" s="97" t="inlineStr">
        <is>
          <t>2025-12-20</t>
        </is>
      </c>
      <c r="V64" s="95" t="n">
        <v>6064</v>
      </c>
      <c r="W64" s="97" t="inlineStr">
        <is>
          <t>2026-11-12</t>
        </is>
      </c>
      <c r="X64" s="98" t="inlineStr">
        <is>
          <t>https://example.com/w/property-64</t>
        </is>
      </c>
      <c r="Y64" s="98" t="n"/>
      <c r="Z64" s="98" t="n"/>
      <c r="AA64" s="98" t="inlineStr">
        <is>
          <t>TBD — replace with broker name + date</t>
        </is>
      </c>
      <c r="AB64" s="99" t="n">
        <v>3079000</v>
      </c>
      <c r="AC64" s="99" t="n">
        <v>2678000</v>
      </c>
      <c r="AD64" s="99" t="n">
        <v>2276000</v>
      </c>
      <c r="AE64" s="99" t="n">
        <v>3137000</v>
      </c>
      <c r="AF64" s="99" t="n">
        <v>2739000</v>
      </c>
      <c r="AG64" s="99" t="n">
        <v>2290000</v>
      </c>
      <c r="AH64" s="99" t="n">
        <v>3214000</v>
      </c>
      <c r="AI64" s="99">
        <f>AH64-AF64</f>
        <v/>
      </c>
      <c r="AJ64" s="100">
        <f>IF(AF64=0,"",AI64/AF64)</f>
        <v/>
      </c>
      <c r="AK64" s="101">
        <f>IF(AJ64="","",IF(AJ64&gt;=0.15,"STRONG",IF(AJ64&gt;=0.1,"FILE",IF(AJ64&gt;=0.07,"INVESTIGATE","PASS"))))</f>
        <v/>
      </c>
    </row>
    <row r="65" ht="15" customHeight="1" s="57">
      <c r="A65" s="89" t="inlineStr">
        <is>
          <t>105 E 7th St</t>
        </is>
      </c>
      <c r="B65" s="107" t="inlineStr">
        <is>
          <t>Winfield</t>
        </is>
      </c>
      <c r="C65" s="63" t="inlineStr">
        <is>
          <t>TX</t>
        </is>
      </c>
      <c r="D65" s="90" t="n">
        <v>75493</v>
      </c>
      <c r="E65" s="91" t="inlineStr">
        <is>
          <t>Pontus POG Portfolio, LLC</t>
        </is>
      </c>
      <c r="F65" s="63" t="inlineStr">
        <is>
          <t>POG105</t>
        </is>
      </c>
      <c r="G65" s="91" t="n"/>
      <c r="H65" s="63" t="n">
        <v>1</v>
      </c>
      <c r="J65" s="65" t="n">
        <v>46418</v>
      </c>
      <c r="O65" s="63" t="inlineStr">
        <is>
          <t>Pinnacle</t>
        </is>
      </c>
      <c r="S65" s="95" t="n">
        <v>109243</v>
      </c>
      <c r="T65" s="96" t="n"/>
      <c r="U65" s="104" t="n"/>
      <c r="V65" s="108" t="n"/>
      <c r="W65" s="104" t="n"/>
      <c r="X65" s="98" t="inlineStr">
        <is>
          <t>https://example.com/w/property-65</t>
        </is>
      </c>
      <c r="Y65" s="98" t="n"/>
      <c r="Z65" s="98" t="n"/>
      <c r="AA65" s="98" t="inlineStr">
        <is>
          <t>TBD — replace with broker name + date</t>
        </is>
      </c>
      <c r="AB65" s="99" t="n">
        <v>5041000</v>
      </c>
      <c r="AC65" s="99" t="n">
        <v>4384000</v>
      </c>
      <c r="AD65" s="99" t="n">
        <v>3726000</v>
      </c>
      <c r="AE65" s="99" t="n">
        <v>5158000</v>
      </c>
      <c r="AF65" s="99" t="n">
        <v>4326000</v>
      </c>
      <c r="AG65" s="99" t="n">
        <v>3813000</v>
      </c>
      <c r="AH65" s="99" t="n">
        <v>4911000</v>
      </c>
      <c r="AI65" s="99">
        <f>AH65-AF65</f>
        <v/>
      </c>
      <c r="AJ65" s="100">
        <f>IF(AF65=0,"",AI65/AF65)</f>
        <v/>
      </c>
      <c r="AK65" s="101">
        <f>IF(AJ65="","",IF(AJ65&gt;=0.15,"STRONG",IF(AJ65&gt;=0.1,"FILE",IF(AJ65&gt;=0.07,"INVESTIGATE","PASS"))))</f>
        <v/>
      </c>
    </row>
    <row r="66" ht="15" customHeight="1" s="57">
      <c r="A66" s="89" t="inlineStr">
        <is>
          <t>110 W Bloomingdale Ave</t>
        </is>
      </c>
      <c r="B66" s="63" t="inlineStr">
        <is>
          <t>Brandon</t>
        </is>
      </c>
      <c r="C66" s="63" t="inlineStr">
        <is>
          <t>FL</t>
        </is>
      </c>
      <c r="D66" s="90" t="n">
        <v>33511</v>
      </c>
      <c r="E66" s="91" t="inlineStr">
        <is>
          <t>Pontus Vault Portfolio, LLC</t>
        </is>
      </c>
      <c r="F66" s="63" t="inlineStr">
        <is>
          <t>VP110</t>
        </is>
      </c>
      <c r="G66" s="91" t="inlineStr">
        <is>
          <t>A0733680000</t>
        </is>
      </c>
      <c r="H66" s="63" t="n">
        <v>1</v>
      </c>
      <c r="I66" s="64" t="n">
        <v>46387</v>
      </c>
      <c r="J66" s="65" t="n">
        <v>46477</v>
      </c>
      <c r="N66" s="65" t="n"/>
      <c r="O66" s="63" t="inlineStr">
        <is>
          <t>Pontus</t>
        </is>
      </c>
      <c r="P66" s="63" t="inlineStr">
        <is>
          <t>Hillsborough County</t>
        </is>
      </c>
      <c r="Q66" s="63" t="n">
        <v>8132725890</v>
      </c>
      <c r="R66" s="102" t="inlineStr">
        <is>
          <t>https://county-taxes.net/hillsborough/hillsborough/property-tax/aGlsbHNib3JvdWdoOnJlYWxfZXN0YXRlOnBhcmVudHM6ZjYxM2RkNGQtZTUwOS0xMWViLWFmNmMtMDA1MDU2ODFiMmNm/bills/b3f75606-85a3-11ef-b227-00505681f4ed</t>
        </is>
      </c>
      <c r="S66" s="95" t="n">
        <v>0</v>
      </c>
      <c r="T66" s="96" t="n"/>
      <c r="U66" s="97" t="inlineStr">
        <is>
          <t>2025-11-24</t>
        </is>
      </c>
      <c r="V66" s="95" t="n">
        <v>21343</v>
      </c>
      <c r="W66" s="97" t="inlineStr">
        <is>
          <t>2026-11-13</t>
        </is>
      </c>
      <c r="X66" s="98" t="inlineStr">
        <is>
          <t>https://county-taxes.net/hillsborough/hillsborough/property-tax/aGlsbHNib3JvdWdoOnJlYWxfZXN0YXRlOnBhcmVudHM6ZjYxM2RkNGQtZTUwOS0xMWViLWFmNmMtMDA1MDU2ODFiMmNm/bills/b3f75606-85a3-11ef-b227-00505681f4ed</t>
        </is>
      </c>
      <c r="Y66" s="98" t="n"/>
      <c r="Z66" s="98" t="inlineStr">
        <is>
          <t>https://example.com/y/property-66</t>
        </is>
      </c>
      <c r="AA66" s="98" t="inlineStr">
        <is>
          <t>TBD — replace with broker name + date</t>
        </is>
      </c>
      <c r="AB66" s="99" t="n">
        <v>1537000</v>
      </c>
      <c r="AC66" s="99" t="n">
        <v>1337000</v>
      </c>
      <c r="AD66" s="99" t="n">
        <v>1136000</v>
      </c>
      <c r="AE66" s="99" t="n">
        <v>1529000</v>
      </c>
      <c r="AF66" s="99" t="n">
        <v>1316000</v>
      </c>
      <c r="AG66" s="99" t="n">
        <v>1102000</v>
      </c>
      <c r="AH66" s="99" t="n">
        <v>1445000</v>
      </c>
      <c r="AI66" s="99">
        <f>AH66-AF66</f>
        <v/>
      </c>
      <c r="AJ66" s="100">
        <f>IF(AF66=0,"",AI66/AF66)</f>
        <v/>
      </c>
      <c r="AK66" s="101">
        <f>IF(AJ66="","",IF(AJ66&gt;=0.15,"STRONG",IF(AJ66&gt;=0.1,"FILE",IF(AJ66&gt;=0.07,"INVESTIGATE","PASS"))))</f>
        <v/>
      </c>
    </row>
    <row r="67" ht="15" customHeight="1" s="57">
      <c r="A67" s="89" t="inlineStr">
        <is>
          <t>2691 Placida Rd</t>
        </is>
      </c>
      <c r="B67" s="63" t="inlineStr">
        <is>
          <t>Grove City</t>
        </is>
      </c>
      <c r="C67" s="63" t="inlineStr">
        <is>
          <t>FL</t>
        </is>
      </c>
      <c r="D67" s="90" t="n">
        <v>34224</v>
      </c>
      <c r="E67" s="91" t="inlineStr">
        <is>
          <t>Pontus Vault Portfolio, LLC</t>
        </is>
      </c>
      <c r="F67" s="63" t="inlineStr">
        <is>
          <t>VP2691</t>
        </is>
      </c>
      <c r="G67" s="91" t="n">
        <v>412008462002</v>
      </c>
      <c r="H67" s="63" t="n">
        <v>1</v>
      </c>
      <c r="I67" s="64" t="n">
        <v>46361</v>
      </c>
      <c r="J67" s="65" t="n">
        <v>46477</v>
      </c>
      <c r="N67" s="65" t="n"/>
      <c r="O67" s="63" t="inlineStr">
        <is>
          <t>Pontus</t>
        </is>
      </c>
      <c r="P67" s="63" t="inlineStr">
        <is>
          <t>Charlotte County</t>
        </is>
      </c>
      <c r="Q67" s="63" t="n">
        <v>9417431350</v>
      </c>
      <c r="R67" s="102" t="inlineStr">
        <is>
          <t>https://county-taxes.net/charlotte/property-tax/Y2hhcmxvdHRlOnJlYWxfZXN0YXRlOnBhcmVudHM6ZmRhZjExNTEtZTUwOS0xMWViLTk1NGItMDA1MDU2ODFjYmE3</t>
        </is>
      </c>
      <c r="S67" s="95" t="n">
        <v>0</v>
      </c>
      <c r="T67" s="96" t="n"/>
      <c r="U67" s="97" t="inlineStr">
        <is>
          <t>2025-11-20</t>
        </is>
      </c>
      <c r="V67" s="95" t="n">
        <v>13553</v>
      </c>
      <c r="W67" s="97" t="inlineStr">
        <is>
          <t>2026-11-22</t>
        </is>
      </c>
      <c r="X67" s="98" t="inlineStr">
        <is>
          <t>https://county-taxes.net/charlotte/property-tax/Y2hhcmxvdHRlOnJlYWxfZXN0YXRlOnBhcmVudHM6ZmRhZjExNTEtZTUwOS0xMWViLTk1NGItMDA1MDU2ODFjYmE3</t>
        </is>
      </c>
      <c r="Y67" s="98" t="n"/>
      <c r="Z67" s="98" t="n"/>
      <c r="AA67" s="98" t="inlineStr">
        <is>
          <t>TBD — replace with broker name + date</t>
        </is>
      </c>
      <c r="AB67" s="99" t="n">
        <v>1145000</v>
      </c>
      <c r="AC67" s="99" t="n">
        <v>996000</v>
      </c>
      <c r="AD67" s="99" t="n">
        <v>846000</v>
      </c>
      <c r="AE67" s="99" t="n">
        <v>1121000</v>
      </c>
      <c r="AF67" s="99" t="n">
        <v>985000</v>
      </c>
      <c r="AG67" s="99" t="n">
        <v>826000</v>
      </c>
      <c r="AH67" s="99" t="n">
        <v>1016000</v>
      </c>
      <c r="AI67" s="99">
        <f>AH67-AF67</f>
        <v/>
      </c>
      <c r="AJ67" s="100">
        <f>IF(AF67=0,"",AI67/AF67)</f>
        <v/>
      </c>
      <c r="AK67" s="101">
        <f>IF(AJ67="","",IF(AJ67&gt;=0.15,"STRONG",IF(AJ67&gt;=0.1,"FILE",IF(AJ67&gt;=0.07,"INVESTIGATE","PASS"))))</f>
        <v/>
      </c>
    </row>
    <row r="68" ht="15" customHeight="1" s="57">
      <c r="A68" s="89" t="inlineStr">
        <is>
          <t>2123 US Hwy 19</t>
        </is>
      </c>
      <c r="B68" s="63" t="inlineStr">
        <is>
          <t>Holiday</t>
        </is>
      </c>
      <c r="C68" s="63" t="inlineStr">
        <is>
          <t>FL</t>
        </is>
      </c>
      <c r="D68" s="90" t="n">
        <v>34691</v>
      </c>
      <c r="E68" s="91" t="inlineStr">
        <is>
          <t>Pontus Vault Portfolio, LLC</t>
        </is>
      </c>
      <c r="F68" s="63" t="inlineStr">
        <is>
          <t>VP2123</t>
        </is>
      </c>
      <c r="G68" s="91" t="inlineStr">
        <is>
          <t>30-26-16-0010-06000-0030</t>
        </is>
      </c>
      <c r="H68" s="63" t="n">
        <v>1</v>
      </c>
      <c r="I68" s="64" t="n">
        <v>46356</v>
      </c>
      <c r="J68" s="65" t="n">
        <v>46477</v>
      </c>
      <c r="N68" s="65" t="n"/>
      <c r="O68" s="63" t="inlineStr">
        <is>
          <t>Pontus</t>
        </is>
      </c>
      <c r="P68" s="63" t="inlineStr">
        <is>
          <t>Pasco County</t>
        </is>
      </c>
      <c r="Q68" s="63" t="n">
        <v>3525214338</v>
      </c>
      <c r="R68" s="102" t="inlineStr">
        <is>
          <t>https://county-taxes.net/fl-pasco/property-tax/cGFzY286cmVhbF9lc3RhdGU6cGFyZW50czpiYTM1MjBmMS1lMzY4LTExZWItOGVkMi0wMDUwNTY4MWFmMWU=</t>
        </is>
      </c>
      <c r="S68" s="95" t="n">
        <v>0</v>
      </c>
      <c r="T68" s="96" t="n"/>
      <c r="U68" s="97" t="inlineStr">
        <is>
          <t>2025-12-21</t>
        </is>
      </c>
      <c r="V68" s="95" t="n">
        <v>13395</v>
      </c>
      <c r="W68" s="97" t="inlineStr">
        <is>
          <t>2026-11-10</t>
        </is>
      </c>
      <c r="X68" s="98" t="inlineStr">
        <is>
          <t>https://county-taxes.net/fl-pasco/property-tax/cGFzY286cmVhbF9lc3RhdGU6cGFyZW50czpiYTM1MjBmMS1lMzY4LTExZWItOGVkMi0wMDUwNTY4MWFmMWU=</t>
        </is>
      </c>
      <c r="Y68" s="98" t="n"/>
      <c r="Z68" s="98" t="n"/>
      <c r="AA68" s="98" t="inlineStr">
        <is>
          <t>TBD — replace with broker name + date</t>
        </is>
      </c>
      <c r="AB68" s="99" t="n">
        <v>1668000</v>
      </c>
      <c r="AC68" s="99" t="n">
        <v>1451000</v>
      </c>
      <c r="AD68" s="99" t="n">
        <v>1233000</v>
      </c>
      <c r="AE68" s="99" t="n">
        <v>1624000</v>
      </c>
      <c r="AF68" s="99" t="n">
        <v>1434000</v>
      </c>
      <c r="AG68" s="99" t="n">
        <v>1243000</v>
      </c>
      <c r="AH68" s="99" t="n">
        <v>1742000</v>
      </c>
      <c r="AI68" s="99">
        <f>AH68-AF68</f>
        <v/>
      </c>
      <c r="AJ68" s="100">
        <f>IF(AF68=0,"",AI68/AF68)</f>
        <v/>
      </c>
      <c r="AK68" s="101">
        <f>IF(AJ68="","",IF(AJ68&gt;=0.15,"STRONG",IF(AJ68&gt;=0.1,"FILE",IF(AJ68&gt;=0.07,"INVESTIGATE","PASS"))))</f>
        <v/>
      </c>
    </row>
    <row r="69" ht="15" customHeight="1" s="57">
      <c r="A69" s="89" t="inlineStr">
        <is>
          <t>13175 Walsingham Rd</t>
        </is>
      </c>
      <c r="B69" s="63" t="inlineStr">
        <is>
          <t>Largo</t>
        </is>
      </c>
      <c r="C69" s="63" t="inlineStr">
        <is>
          <t>FL</t>
        </is>
      </c>
      <c r="D69" s="90" t="n">
        <v>33774</v>
      </c>
      <c r="E69" s="91" t="inlineStr">
        <is>
          <t>Pontus Vault Portfolio, LLC</t>
        </is>
      </c>
      <c r="F69" s="63" t="inlineStr">
        <is>
          <t>VP13175</t>
        </is>
      </c>
      <c r="G69" s="91" t="inlineStr">
        <is>
          <t>08-30-15-00000-340-0400</t>
        </is>
      </c>
      <c r="H69" s="63" t="n">
        <v>1</v>
      </c>
      <c r="I69" s="64" t="n">
        <v>46356</v>
      </c>
      <c r="J69" s="65" t="n">
        <v>46477</v>
      </c>
      <c r="N69" s="65" t="n"/>
      <c r="O69" s="63" t="inlineStr">
        <is>
          <t>Pontus</t>
        </is>
      </c>
      <c r="P69" s="63" t="inlineStr">
        <is>
          <t>Pinellas County</t>
        </is>
      </c>
      <c r="Q69" s="63" t="n">
        <v>7274647777</v>
      </c>
      <c r="R69" s="102" t="inlineStr">
        <is>
          <t>https://county-taxes.net/pinellas/property-tax/cGluZWxsYXM6cmVhbF9lc3RhdGU6cGFyZW50czpiYTYyMzFiZC1lMzY4LTExZWItOTRkMS0wMDUwNTY4MTUwMjg=</t>
        </is>
      </c>
      <c r="S69" s="95" t="n">
        <v>0</v>
      </c>
      <c r="T69" s="96" t="n"/>
      <c r="U69" s="97" t="inlineStr">
        <is>
          <t>2025-12-13</t>
        </is>
      </c>
      <c r="V69" s="95" t="n">
        <v>18568</v>
      </c>
      <c r="W69" s="97" t="inlineStr">
        <is>
          <t>2026-12-12</t>
        </is>
      </c>
      <c r="X69" s="98" t="inlineStr">
        <is>
          <t>https://county-taxes.net/pinellas/property-tax/cGluZWxsYXM6cmVhbF9lc3RhdGU6cGFyZW50czpiYTYyMzFiZC1lMzY4LTExZWItOTRkMS0wMDUwNTY4MTUwMjg=</t>
        </is>
      </c>
      <c r="Y69" s="98" t="n"/>
      <c r="Z69" s="98" t="n"/>
      <c r="AA69" s="98" t="inlineStr">
        <is>
          <t>TBD — replace with broker name + date</t>
        </is>
      </c>
      <c r="AB69" s="99" t="n">
        <v>3313000</v>
      </c>
      <c r="AC69" s="99" t="n">
        <v>2881000</v>
      </c>
      <c r="AD69" s="99" t="n">
        <v>2448000</v>
      </c>
      <c r="AE69" s="99" t="n">
        <v>3287000</v>
      </c>
      <c r="AF69" s="99" t="n">
        <v>2938000</v>
      </c>
      <c r="AG69" s="99" t="n">
        <v>2407000</v>
      </c>
      <c r="AH69" s="99" t="n">
        <v>3227000</v>
      </c>
      <c r="AI69" s="99">
        <f>AH69-AF69</f>
        <v/>
      </c>
      <c r="AJ69" s="100">
        <f>IF(AF69=0,"",AI69/AF69)</f>
        <v/>
      </c>
      <c r="AK69" s="101">
        <f>IF(AJ69="","",IF(AJ69&gt;=0.15,"STRONG",IF(AJ69&gt;=0.1,"FILE",IF(AJ69&gt;=0.07,"INVESTIGATE","PASS"))))</f>
        <v/>
      </c>
    </row>
    <row r="70" ht="15" customHeight="1" s="57">
      <c r="A70" s="89" t="inlineStr">
        <is>
          <t>12396 W. Sunrise Blvd.</t>
        </is>
      </c>
      <c r="B70" s="63" t="inlineStr">
        <is>
          <t>Plantation</t>
        </is>
      </c>
      <c r="C70" s="63" t="inlineStr">
        <is>
          <t>FL</t>
        </is>
      </c>
      <c r="D70" s="90" t="n">
        <v>33323</v>
      </c>
      <c r="E70" s="91" t="inlineStr">
        <is>
          <t>Pontus Vault Portfolio, LLC</t>
        </is>
      </c>
      <c r="F70" s="63" t="inlineStr">
        <is>
          <t>VP12396</t>
        </is>
      </c>
      <c r="G70" s="91" t="inlineStr">
        <is>
          <t> </t>
        </is>
      </c>
      <c r="H70" s="63" t="n">
        <v>1</v>
      </c>
      <c r="I70" s="64" t="n">
        <v>46356</v>
      </c>
      <c r="J70" s="65" t="n">
        <v>46477</v>
      </c>
      <c r="N70" s="65" t="n"/>
      <c r="O70" s="63" t="inlineStr">
        <is>
          <t>Pontus</t>
        </is>
      </c>
      <c r="P70" s="63" t="inlineStr">
        <is>
          <t>Broward County</t>
        </is>
      </c>
      <c r="Q70" s="63" t="n">
        <v>9548314000</v>
      </c>
      <c r="R70" s="102" t="inlineStr">
        <is>
          <t>https://county-taxes.net/broward/property-tax/YnJvd2FyZDpyZWFsX2VzdGF0ZTpwYXJlbnRzOjAxMDNkNzlhLWU1MGEtMTFlYi1iYTM4LTAwNTA1NjgxOTMzNA==</t>
        </is>
      </c>
      <c r="S70" s="95" t="n">
        <v>0</v>
      </c>
      <c r="T70" s="96" t="n"/>
      <c r="U70" s="97" t="inlineStr">
        <is>
          <t>2025-12-25</t>
        </is>
      </c>
      <c r="V70" s="95" t="n">
        <v>18017</v>
      </c>
      <c r="W70" s="97" t="inlineStr">
        <is>
          <t>2026-11-26</t>
        </is>
      </c>
      <c r="X70" s="98" t="inlineStr">
        <is>
          <t>https://county-taxes.net/broward/property-tax/YnJvd2FyZDpyZWFsX2VzdGF0ZTpwYXJlbnRzOjAxMDNkNzlhLWU1MGEtMTFlYi1iYTM4LTAwNTA1NjgxOTMzNA==</t>
        </is>
      </c>
      <c r="Y70" s="98" t="inlineStr">
        <is>
          <t>https://example.com/x/property-70</t>
        </is>
      </c>
      <c r="Z70" s="98" t="n"/>
      <c r="AA70" s="98" t="inlineStr">
        <is>
          <t>TBD — replace with broker name + date</t>
        </is>
      </c>
      <c r="AB70" s="99" t="n">
        <v>4625000</v>
      </c>
      <c r="AC70" s="99" t="n">
        <v>4022000</v>
      </c>
      <c r="AD70" s="99" t="n">
        <v>3418000</v>
      </c>
      <c r="AE70" s="99" t="n">
        <v>4739000</v>
      </c>
      <c r="AF70" s="99" t="n">
        <v>4089000</v>
      </c>
      <c r="AG70" s="99" t="n">
        <v>3365000</v>
      </c>
      <c r="AH70" s="99" t="n">
        <v>4344000</v>
      </c>
      <c r="AI70" s="99">
        <f>AH70-AF70</f>
        <v/>
      </c>
      <c r="AJ70" s="100">
        <f>IF(AF70=0,"",AI70/AF70)</f>
        <v/>
      </c>
      <c r="AK70" s="101">
        <f>IF(AJ70="","",IF(AJ70&gt;=0.15,"STRONG",IF(AJ70&gt;=0.1,"FILE",IF(AJ70&gt;=0.07,"INVESTIGATE","PASS"))))</f>
        <v/>
      </c>
    </row>
    <row r="71" ht="15" customHeight="1" s="57">
      <c r="A71" s="89" t="inlineStr">
        <is>
          <t>4000 20th St</t>
        </is>
      </c>
      <c r="B71" s="63" t="inlineStr">
        <is>
          <t>Vero Beach</t>
        </is>
      </c>
      <c r="C71" s="63" t="inlineStr">
        <is>
          <t>FL</t>
        </is>
      </c>
      <c r="D71" s="90" t="n">
        <v>32960</v>
      </c>
      <c r="E71" s="91" t="inlineStr">
        <is>
          <t>Pontus Vault Portfolio, LLC</t>
        </is>
      </c>
      <c r="F71" s="63" t="inlineStr">
        <is>
          <t>VP4000</t>
        </is>
      </c>
      <c r="G71" s="91" t="inlineStr">
        <is>
          <t>33-39-03-00007-0020-00002/0</t>
        </is>
      </c>
      <c r="H71" s="63" t="n">
        <v>1</v>
      </c>
      <c r="J71" s="65" t="n">
        <v>46477</v>
      </c>
      <c r="N71" s="65" t="n"/>
      <c r="O71" s="63" t="inlineStr">
        <is>
          <t>Synovus</t>
        </is>
      </c>
      <c r="P71" s="63" t="inlineStr">
        <is>
          <t>Indian River County</t>
        </is>
      </c>
      <c r="Q71" s="63" t="n">
        <v>7722261343</v>
      </c>
      <c r="R71" s="102" t="inlineStr">
        <is>
          <t>https://county-taxes.net/indianriver/property-tax/aW5kaWFucml2ZXI6cmVhbF9lc3RhdGU6cGFyZW50czpmNDJjMWJhOC1lNTA5LTExZWItOTQ2Ny0wMDUwNTY4MTg3MTA=</t>
        </is>
      </c>
      <c r="S71" s="95" t="n">
        <v>0</v>
      </c>
      <c r="T71" s="96" t="n"/>
      <c r="U71" s="97" t="inlineStr">
        <is>
          <t>2025-12-24</t>
        </is>
      </c>
      <c r="V71" s="95" t="n">
        <v>12262</v>
      </c>
      <c r="W71" s="97" t="inlineStr">
        <is>
          <t>2026-12-14</t>
        </is>
      </c>
      <c r="X71" s="98" t="inlineStr">
        <is>
          <t>https://county-taxes.net/indianriver/property-tax/aW5kaWFucml2ZXI6cmVhbF9lc3RhdGU6cGFyZW50czpmNDJjMWJhOC1lNTA5LTExZWItOTQ2Ny0wMDUwNTY4MTg3MTA=</t>
        </is>
      </c>
      <c r="Y71" s="98" t="n"/>
      <c r="Z71" s="98" t="n"/>
      <c r="AA71" s="98" t="inlineStr">
        <is>
          <t>TBD — replace with broker name + date</t>
        </is>
      </c>
      <c r="AB71" s="99" t="n">
        <v>5164000</v>
      </c>
      <c r="AC71" s="99" t="n">
        <v>4491000</v>
      </c>
      <c r="AD71" s="99" t="n">
        <v>3817000</v>
      </c>
      <c r="AE71" s="99" t="n">
        <v>5019000</v>
      </c>
      <c r="AF71" s="99" t="n">
        <v>4449000</v>
      </c>
      <c r="AG71" s="99" t="n">
        <v>3708000</v>
      </c>
      <c r="AH71" s="99" t="n">
        <v>4581000</v>
      </c>
      <c r="AI71" s="99">
        <f>AH71-AF71</f>
        <v/>
      </c>
      <c r="AJ71" s="100">
        <f>IF(AF71=0,"",AI71/AF71)</f>
        <v/>
      </c>
      <c r="AK71" s="101">
        <f>IF(AJ71="","",IF(AJ71&gt;=0.15,"STRONG",IF(AJ71&gt;=0.1,"FILE",IF(AJ71&gt;=0.07,"INVESTIGATE","PASS"))))</f>
        <v/>
      </c>
    </row>
    <row r="72" ht="15" customHeight="1" s="57">
      <c r="A72" s="89" t="inlineStr">
        <is>
          <t>1300 Palm Coast Pkwy SW</t>
        </is>
      </c>
      <c r="B72" s="63" t="inlineStr">
        <is>
          <t>Palm Coast</t>
        </is>
      </c>
      <c r="C72" s="63" t="inlineStr">
        <is>
          <t>FL</t>
        </is>
      </c>
      <c r="D72" s="90" t="n">
        <v>32137</v>
      </c>
      <c r="E72" s="91" t="inlineStr">
        <is>
          <t>Pontus Vault Portfolio, LLC</t>
        </is>
      </c>
      <c r="F72" s="63" t="inlineStr">
        <is>
          <t>VP1300</t>
        </is>
      </c>
      <c r="G72" s="91" t="inlineStr">
        <is>
          <t>0711317025000A00020</t>
        </is>
      </c>
      <c r="H72" s="63" t="n">
        <v>1</v>
      </c>
      <c r="I72" s="64" t="n">
        <v>46356</v>
      </c>
      <c r="J72" s="65" t="n">
        <v>46477</v>
      </c>
      <c r="N72" s="65" t="n"/>
      <c r="O72" s="63" t="inlineStr">
        <is>
          <t>TD Ameritrade</t>
        </is>
      </c>
      <c r="P72" s="63" t="inlineStr">
        <is>
          <t>Flagler County</t>
        </is>
      </c>
      <c r="Q72" s="63" t="n">
        <v>3863134008</v>
      </c>
      <c r="R72" s="102" t="inlineStr">
        <is>
          <t>https://county-taxes.net/fl-flagler/property-tax/ZmxhZ2xlcjpyZWFsX2VzdGF0ZTpwYXJlbnRzOmY0MDMyY2JlLWU1MDktMTFlYi05NDY3LTAwNTA1NjgxODcxMA==</t>
        </is>
      </c>
      <c r="S72" s="95" t="n">
        <v>0</v>
      </c>
      <c r="T72" s="96" t="n"/>
      <c r="U72" s="97" t="inlineStr">
        <is>
          <t>2025-12-12</t>
        </is>
      </c>
      <c r="V72" s="95" t="n">
        <v>24420</v>
      </c>
      <c r="W72" s="97" t="inlineStr">
        <is>
          <t>2026-12-14</t>
        </is>
      </c>
      <c r="X72" s="98" t="inlineStr">
        <is>
          <t>https://county-taxes.net/fl-flagler/property-tax/ZmxhZ2xlcjpyZWFsX2VzdGF0ZTpwYXJlbnRzOmY0MDMyY2JlLWU1MDktMTFlYi05NDY3LTAwNTA1NjgxODcxMA==</t>
        </is>
      </c>
      <c r="Y72" s="98" t="n"/>
      <c r="Z72" s="98" t="n"/>
      <c r="AA72" s="98" t="inlineStr">
        <is>
          <t>TBD — replace with broker name + date</t>
        </is>
      </c>
      <c r="AB72" s="99" t="n">
        <v>4690000</v>
      </c>
      <c r="AC72" s="99" t="n">
        <v>4079000</v>
      </c>
      <c r="AD72" s="99" t="n">
        <v>3467000</v>
      </c>
      <c r="AE72" s="99" t="n">
        <v>4715000</v>
      </c>
      <c r="AF72" s="99" t="n">
        <v>4003000</v>
      </c>
      <c r="AG72" s="99" t="n">
        <v>3502000</v>
      </c>
      <c r="AH72" s="99" t="n">
        <v>4895000</v>
      </c>
      <c r="AI72" s="99">
        <f>AH72-AF72</f>
        <v/>
      </c>
      <c r="AJ72" s="100">
        <f>IF(AF72=0,"",AI72/AF72)</f>
        <v/>
      </c>
      <c r="AK72" s="101">
        <f>IF(AJ72="","",IF(AJ72&gt;=0.15,"STRONG",IF(AJ72&gt;=0.1,"FILE",IF(AJ72&gt;=0.07,"INVESTIGATE","PASS"))))</f>
        <v/>
      </c>
    </row>
    <row r="73" ht="15" customHeight="1" s="57">
      <c r="A73" s="89" t="inlineStr">
        <is>
          <t>10050 Stirling Rd.</t>
        </is>
      </c>
      <c r="B73" s="63" t="inlineStr">
        <is>
          <t>Cooper City</t>
        </is>
      </c>
      <c r="C73" s="63" t="inlineStr">
        <is>
          <t>FL</t>
        </is>
      </c>
      <c r="D73" s="90" t="n">
        <v>33024</v>
      </c>
      <c r="E73" s="91" t="inlineStr">
        <is>
          <t>Pontus TP Portfolio, LLC</t>
        </is>
      </c>
      <c r="F73" s="63" t="inlineStr">
        <is>
          <t>TP10050</t>
        </is>
      </c>
      <c r="G73" s="91" t="inlineStr">
        <is>
          <t>514105-08-0011</t>
        </is>
      </c>
      <c r="H73" s="63" t="n">
        <v>1</v>
      </c>
      <c r="J73" s="65" t="n">
        <v>46477</v>
      </c>
      <c r="O73" s="63" t="inlineStr">
        <is>
          <t>Pinnacle</t>
        </is>
      </c>
      <c r="P73" s="63" t="inlineStr">
        <is>
          <t>Broward County</t>
        </is>
      </c>
      <c r="Q73" s="63" t="inlineStr">
        <is>
          <t>(954) 831-4000</t>
        </is>
      </c>
      <c r="R73" s="102" t="inlineStr">
        <is>
          <t>https://broward.county-taxes.com/public/search/property_tax?action_location=Landing+Page</t>
        </is>
      </c>
      <c r="S73" s="95" t="n">
        <v>0</v>
      </c>
      <c r="T73" s="96" t="n"/>
      <c r="U73" s="97" t="inlineStr">
        <is>
          <t>2025-12-10</t>
        </is>
      </c>
      <c r="V73" s="95" t="n">
        <v>3874</v>
      </c>
      <c r="W73" s="97" t="inlineStr">
        <is>
          <t>2026-11-15</t>
        </is>
      </c>
      <c r="X73" s="98" t="inlineStr">
        <is>
          <t>https://broward.county-taxes.com/public/search/property_tax?action_location=Landing+Page</t>
        </is>
      </c>
      <c r="Y73" s="98" t="n"/>
      <c r="Z73" s="98" t="n"/>
      <c r="AA73" s="98" t="inlineStr">
        <is>
          <t>TBD — replace with broker name + date</t>
        </is>
      </c>
      <c r="AB73" s="99" t="n">
        <v>3619000</v>
      </c>
      <c r="AC73" s="99" t="n">
        <v>3147000</v>
      </c>
      <c r="AD73" s="99" t="n">
        <v>2674000</v>
      </c>
      <c r="AE73" s="99" t="n">
        <v>3636000</v>
      </c>
      <c r="AF73" s="99" t="n">
        <v>3099000</v>
      </c>
      <c r="AG73" s="99" t="n">
        <v>2744000</v>
      </c>
      <c r="AH73" s="99" t="n">
        <v>3525000</v>
      </c>
      <c r="AI73" s="99">
        <f>AH73-AF73</f>
        <v/>
      </c>
      <c r="AJ73" s="100">
        <f>IF(AF73=0,"",AI73/AF73)</f>
        <v/>
      </c>
      <c r="AK73" s="101">
        <f>IF(AJ73="","",IF(AJ73&gt;=0.15,"STRONG",IF(AJ73&gt;=0.1,"FILE",IF(AJ73&gt;=0.07,"INVESTIGATE","PASS"))))</f>
        <v/>
      </c>
    </row>
    <row r="74" ht="15" customHeight="1" s="57">
      <c r="A74" s="89" t="inlineStr">
        <is>
          <t>21100 S. Dixie Hwy</t>
        </is>
      </c>
      <c r="B74" s="63" t="inlineStr">
        <is>
          <t>Miami</t>
        </is>
      </c>
      <c r="C74" s="63" t="inlineStr">
        <is>
          <t>FL</t>
        </is>
      </c>
      <c r="D74" s="90" t="n">
        <v>33177</v>
      </c>
      <c r="E74" s="91" t="inlineStr">
        <is>
          <t>Pontus TP Portfolio, LLC</t>
        </is>
      </c>
      <c r="F74" s="63" t="inlineStr">
        <is>
          <t>TP21100</t>
        </is>
      </c>
      <c r="G74" s="91" t="inlineStr">
        <is>
          <t>30-6007-000-0340</t>
        </is>
      </c>
      <c r="H74" s="63" t="n">
        <v>1</v>
      </c>
      <c r="J74" s="65" t="n">
        <v>46477</v>
      </c>
      <c r="O74" s="63" t="inlineStr">
        <is>
          <t>Pinnacle</t>
        </is>
      </c>
      <c r="P74" s="63" t="inlineStr">
        <is>
          <t>Miami-Dade County</t>
        </is>
      </c>
      <c r="Q74" s="63" t="inlineStr">
        <is>
          <t>(305) 270-4916</t>
        </is>
      </c>
      <c r="R74" s="102" t="inlineStr">
        <is>
          <t>https://miamidade.county-taxes.com/public</t>
        </is>
      </c>
      <c r="S74" s="95" t="n">
        <v>0</v>
      </c>
      <c r="T74" s="96" t="n"/>
      <c r="U74" s="97" t="inlineStr">
        <is>
          <t>2025-12-17</t>
        </is>
      </c>
      <c r="V74" s="95" t="n">
        <v>16392</v>
      </c>
      <c r="W74" s="97" t="inlineStr">
        <is>
          <t>2026-12-11</t>
        </is>
      </c>
      <c r="X74" s="98" t="inlineStr">
        <is>
          <t>https://miamidade.county-taxes.com/public</t>
        </is>
      </c>
      <c r="Y74" s="98" t="n"/>
      <c r="Z74" s="98" t="n"/>
      <c r="AA74" s="98" t="inlineStr">
        <is>
          <t>TBD — replace with broker name + date</t>
        </is>
      </c>
      <c r="AB74" s="99" t="n">
        <v>1447000</v>
      </c>
      <c r="AC74" s="99" t="n">
        <v>1259000</v>
      </c>
      <c r="AD74" s="99" t="n">
        <v>1070000</v>
      </c>
      <c r="AE74" s="99" t="n">
        <v>1411000</v>
      </c>
      <c r="AF74" s="99" t="n">
        <v>1278000</v>
      </c>
      <c r="AG74" s="99" t="n">
        <v>1066000</v>
      </c>
      <c r="AH74" s="99" t="n">
        <v>1360000</v>
      </c>
      <c r="AI74" s="99">
        <f>AH74-AF74</f>
        <v/>
      </c>
      <c r="AJ74" s="100">
        <f>IF(AF74=0,"",AI74/AF74)</f>
        <v/>
      </c>
      <c r="AK74" s="101">
        <f>IF(AJ74="","",IF(AJ74&gt;=0.15,"STRONG",IF(AJ74&gt;=0.1,"FILE",IF(AJ74&gt;=0.07,"INVESTIGATE","PASS"))))</f>
        <v/>
      </c>
    </row>
    <row r="75" ht="15" customHeight="1" s="57">
      <c r="A75" s="89" t="inlineStr">
        <is>
          <t>9980 SW 8th St</t>
        </is>
      </c>
      <c r="B75" s="63" t="inlineStr">
        <is>
          <t>Miami</t>
        </is>
      </c>
      <c r="C75" s="63" t="inlineStr">
        <is>
          <t>FL</t>
        </is>
      </c>
      <c r="D75" s="90" t="n">
        <v>33174</v>
      </c>
      <c r="E75" s="91" t="inlineStr">
        <is>
          <t>Pontus TP Portfolio, LLC</t>
        </is>
      </c>
      <c r="F75" s="63" t="inlineStr">
        <is>
          <t>TP9980</t>
        </is>
      </c>
      <c r="G75" s="91" t="inlineStr">
        <is>
          <t>30-4008-000-0015</t>
        </is>
      </c>
      <c r="H75" s="63" t="n">
        <v>1</v>
      </c>
      <c r="J75" s="65" t="n">
        <v>46477</v>
      </c>
      <c r="O75" s="63" t="inlineStr">
        <is>
          <t>Pinnacle</t>
        </is>
      </c>
      <c r="P75" s="63" t="inlineStr">
        <is>
          <t>Miami-Dade County</t>
        </is>
      </c>
      <c r="Q75" s="63" t="inlineStr">
        <is>
          <t>(305) 270-4916</t>
        </is>
      </c>
      <c r="R75" s="63" t="inlineStr">
        <is>
          <t>https://miamidade.county-taxes.com/public</t>
        </is>
      </c>
      <c r="S75" s="95" t="n">
        <v>0</v>
      </c>
      <c r="T75" s="96" t="n"/>
      <c r="U75" s="97" t="inlineStr">
        <is>
          <t>2025-11-18</t>
        </is>
      </c>
      <c r="V75" s="95" t="n">
        <v>15327</v>
      </c>
      <c r="W75" s="97" t="inlineStr">
        <is>
          <t>2026-12-13</t>
        </is>
      </c>
      <c r="X75" s="98" t="inlineStr">
        <is>
          <t>https://miamidade.county-taxes.com/public</t>
        </is>
      </c>
      <c r="Y75" s="98" t="n"/>
      <c r="Z75" s="98" t="n"/>
      <c r="AA75" s="98" t="inlineStr">
        <is>
          <t>TBD — replace with broker name + date</t>
        </is>
      </c>
      <c r="AB75" s="99" t="n">
        <v>3186000</v>
      </c>
      <c r="AC75" s="99" t="n">
        <v>2771000</v>
      </c>
      <c r="AD75" s="99" t="n">
        <v>2355000</v>
      </c>
      <c r="AE75" s="99" t="n">
        <v>3142000</v>
      </c>
      <c r="AF75" s="99" t="n">
        <v>2853000</v>
      </c>
      <c r="AG75" s="99" t="n">
        <v>2309000</v>
      </c>
      <c r="AH75" s="99" t="n">
        <v>2827000</v>
      </c>
      <c r="AI75" s="99">
        <f>AH75-AF75</f>
        <v/>
      </c>
      <c r="AJ75" s="100">
        <f>IF(AF75=0,"",AI75/AF75)</f>
        <v/>
      </c>
      <c r="AK75" s="101">
        <f>IF(AJ75="","",IF(AJ75&gt;=0.15,"STRONG",IF(AJ75&gt;=0.1,"FILE",IF(AJ75&gt;=0.07,"INVESTIGATE","PASS"))))</f>
        <v/>
      </c>
    </row>
    <row r="76" ht="15" customHeight="1" s="57">
      <c r="A76" s="89" t="inlineStr">
        <is>
          <t>3695 NW 167 St</t>
        </is>
      </c>
      <c r="B76" s="63" t="inlineStr">
        <is>
          <t>Miami Gardens</t>
        </is>
      </c>
      <c r="C76" s="63" t="inlineStr">
        <is>
          <t>FL</t>
        </is>
      </c>
      <c r="D76" s="90" t="n">
        <v>33056</v>
      </c>
      <c r="E76" s="91" t="inlineStr">
        <is>
          <t>Pontus TP Portfolio, LLC</t>
        </is>
      </c>
      <c r="F76" s="63" t="inlineStr">
        <is>
          <t>TP3695</t>
        </is>
      </c>
      <c r="G76" s="91" t="inlineStr">
        <is>
          <t>34-2109-001-0410</t>
        </is>
      </c>
      <c r="H76" s="63" t="n">
        <v>1</v>
      </c>
      <c r="J76" s="65" t="n">
        <v>46477</v>
      </c>
      <c r="O76" s="63" t="inlineStr">
        <is>
          <t>Pinnacle</t>
        </is>
      </c>
      <c r="P76" s="63" t="inlineStr">
        <is>
          <t>Miami-Dade County</t>
        </is>
      </c>
      <c r="Q76" s="63" t="inlineStr">
        <is>
          <t>(305) 270-4916</t>
        </is>
      </c>
      <c r="R76" s="63" t="inlineStr">
        <is>
          <t>https://miamidade.county-taxes.com/public</t>
        </is>
      </c>
      <c r="S76" s="95" t="n">
        <v>0</v>
      </c>
      <c r="T76" s="96" t="n"/>
      <c r="U76" s="97" t="inlineStr">
        <is>
          <t>2025-11-28</t>
        </is>
      </c>
      <c r="V76" s="95" t="n">
        <v>18862</v>
      </c>
      <c r="W76" s="97" t="inlineStr">
        <is>
          <t>2026-12-23</t>
        </is>
      </c>
      <c r="X76" s="98" t="inlineStr">
        <is>
          <t>https://miamidade.county-taxes.com/public</t>
        </is>
      </c>
      <c r="Y76" s="98" t="n"/>
      <c r="Z76" s="98" t="n"/>
      <c r="AA76" s="98" t="inlineStr">
        <is>
          <t>TBD — replace with broker name + date</t>
        </is>
      </c>
      <c r="AB76" s="99" t="n">
        <v>1854000</v>
      </c>
      <c r="AC76" s="99" t="n">
        <v>1613000</v>
      </c>
      <c r="AD76" s="99" t="n">
        <v>1371000</v>
      </c>
      <c r="AE76" s="99" t="n">
        <v>1821000</v>
      </c>
      <c r="AF76" s="99" t="n">
        <v>1644000</v>
      </c>
      <c r="AG76" s="99" t="n">
        <v>1392000</v>
      </c>
      <c r="AH76" s="99" t="n">
        <v>1936000</v>
      </c>
      <c r="AI76" s="99">
        <f>AH76-AF76</f>
        <v/>
      </c>
      <c r="AJ76" s="100">
        <f>IF(AF76=0,"",AI76/AF76)</f>
        <v/>
      </c>
      <c r="AK76" s="101">
        <f>IF(AJ76="","",IF(AJ76&gt;=0.15,"STRONG",IF(AJ76&gt;=0.1,"FILE",IF(AJ76&gt;=0.07,"INVESTIGATE","PASS"))))</f>
        <v/>
      </c>
    </row>
    <row r="77" ht="15" customHeight="1" s="57">
      <c r="A77" s="89" t="inlineStr">
        <is>
          <t>3701 NW 167 Street</t>
        </is>
      </c>
      <c r="B77" s="63" t="inlineStr">
        <is>
          <t>Miami Gardens</t>
        </is>
      </c>
      <c r="C77" s="63" t="inlineStr">
        <is>
          <t>FL</t>
        </is>
      </c>
      <c r="D77" s="90" t="n">
        <v>33055</v>
      </c>
      <c r="E77" s="91" t="inlineStr">
        <is>
          <t>Pontus TP Portfolio, LLC</t>
        </is>
      </c>
      <c r="F77" s="63" t="inlineStr">
        <is>
          <t>TP3701</t>
        </is>
      </c>
      <c r="G77" s="91" t="inlineStr">
        <is>
          <t>34-2108-004-0151</t>
        </is>
      </c>
      <c r="H77" s="63" t="n">
        <v>1</v>
      </c>
      <c r="J77" s="65" t="n">
        <v>46477</v>
      </c>
      <c r="O77" s="63" t="inlineStr">
        <is>
          <t>Pinnacle</t>
        </is>
      </c>
      <c r="P77" s="63" t="inlineStr">
        <is>
          <t>Miami-Dade County</t>
        </is>
      </c>
      <c r="Q77" s="63" t="inlineStr">
        <is>
          <t>(305) 270-4916</t>
        </is>
      </c>
      <c r="R77" s="102" t="inlineStr">
        <is>
          <t>https://miamidade.county-taxes.com/public</t>
        </is>
      </c>
      <c r="S77" s="95" t="n">
        <v>0</v>
      </c>
      <c r="T77" s="96" t="n"/>
      <c r="U77" s="97" t="inlineStr">
        <is>
          <t>2025-11-18</t>
        </is>
      </c>
      <c r="V77" s="95" t="n">
        <v>5173</v>
      </c>
      <c r="W77" s="97" t="inlineStr">
        <is>
          <t>2026-11-20</t>
        </is>
      </c>
      <c r="X77" s="98" t="inlineStr">
        <is>
          <t>https://miamidade.county-taxes.com/public</t>
        </is>
      </c>
      <c r="Y77" s="98" t="inlineStr">
        <is>
          <t>https://example.com/x/property-77</t>
        </is>
      </c>
      <c r="Z77" s="98" t="inlineStr">
        <is>
          <t>https://example.com/y/property-77</t>
        </is>
      </c>
      <c r="AA77" s="98" t="inlineStr">
        <is>
          <t>TBD — replace with broker name + date</t>
        </is>
      </c>
      <c r="AB77" s="99" t="n">
        <v>316000</v>
      </c>
      <c r="AC77" s="99" t="n">
        <v>275000</v>
      </c>
      <c r="AD77" s="99" t="n">
        <v>233000</v>
      </c>
      <c r="AE77" s="99" t="n">
        <v>312000</v>
      </c>
      <c r="AF77" s="99" t="n">
        <v>282000</v>
      </c>
      <c r="AG77" s="99" t="n">
        <v>235000</v>
      </c>
      <c r="AH77" s="99" t="n">
        <v>308000</v>
      </c>
      <c r="AI77" s="99">
        <f>AH77-AF77</f>
        <v/>
      </c>
      <c r="AJ77" s="100">
        <f>IF(AF77=0,"",AI77/AF77)</f>
        <v/>
      </c>
      <c r="AK77" s="101">
        <f>IF(AJ77="","",IF(AJ77&gt;=0.15,"STRONG",IF(AJ77&gt;=0.1,"FILE",IF(AJ77&gt;=0.07,"INVESTIGATE","PASS"))))</f>
        <v/>
      </c>
    </row>
    <row r="78" ht="15" customHeight="1" s="57">
      <c r="A78" s="89" t="inlineStr">
        <is>
          <t>252 Route 130</t>
        </is>
      </c>
      <c r="B78" s="63" t="inlineStr">
        <is>
          <t>Bordentown</t>
        </is>
      </c>
      <c r="C78" s="63" t="inlineStr">
        <is>
          <t>NJ</t>
        </is>
      </c>
      <c r="D78" s="90" t="n">
        <v>8505</v>
      </c>
      <c r="E78" s="91" t="inlineStr">
        <is>
          <t>PC Shell, LLC</t>
        </is>
      </c>
      <c r="F78" s="63" t="inlineStr">
        <is>
          <t>SH252</t>
        </is>
      </c>
      <c r="G78" s="91" t="n"/>
      <c r="J78" s="65" t="inlineStr">
        <is>
          <t>n/a</t>
        </is>
      </c>
      <c r="N78" s="65" t="n"/>
      <c r="O78" s="63" t="inlineStr">
        <is>
          <t>Pontus</t>
        </is>
      </c>
      <c r="S78" s="95" t="n">
        <v>81194</v>
      </c>
      <c r="T78" s="96" t="n"/>
      <c r="U78" s="104" t="n"/>
      <c r="V78" s="104" t="n"/>
      <c r="W78" s="104" t="n"/>
      <c r="X78" s="98" t="inlineStr">
        <is>
          <t>https://example.com/w/property-78</t>
        </is>
      </c>
      <c r="Y78" s="98" t="n"/>
      <c r="Z78" s="98" t="n"/>
      <c r="AA78" s="98" t="inlineStr">
        <is>
          <t>TBD — replace with broker name + date</t>
        </is>
      </c>
      <c r="AB78" s="99" t="n">
        <v>4194000</v>
      </c>
      <c r="AC78" s="99" t="n">
        <v>3647000</v>
      </c>
      <c r="AD78" s="99" t="n">
        <v>3099000</v>
      </c>
      <c r="AE78" s="99" t="n">
        <v>4127000</v>
      </c>
      <c r="AF78" s="99" t="n">
        <v>3544000</v>
      </c>
      <c r="AG78" s="99" t="n">
        <v>3085000</v>
      </c>
      <c r="AH78" s="99" t="n">
        <v>3939000</v>
      </c>
      <c r="AI78" s="99">
        <f>AH78-AF78</f>
        <v/>
      </c>
      <c r="AJ78" s="100">
        <f>IF(AF78=0,"",AI78/AF78)</f>
        <v/>
      </c>
      <c r="AK78" s="101">
        <f>IF(AJ78="","",IF(AJ78&gt;=0.15,"STRONG",IF(AJ78&gt;=0.1,"FILE",IF(AJ78&gt;=0.07,"INVESTIGATE","PASS"))))</f>
        <v/>
      </c>
    </row>
    <row r="79" ht="15" customHeight="1" s="57">
      <c r="A79" s="89" t="inlineStr">
        <is>
          <t>4012 Atlantic Brigantine Blvd</t>
        </is>
      </c>
      <c r="B79" s="63" t="inlineStr">
        <is>
          <t>Brigantine</t>
        </is>
      </c>
      <c r="C79" s="63" t="inlineStr">
        <is>
          <t>NJ</t>
        </is>
      </c>
      <c r="D79" s="90" t="n">
        <v>8203</v>
      </c>
      <c r="E79" s="91" t="inlineStr">
        <is>
          <t>PC Shell, LLC</t>
        </is>
      </c>
      <c r="F79" s="63" t="inlineStr">
        <is>
          <t>SH4012</t>
        </is>
      </c>
      <c r="G79" s="91" t="n"/>
      <c r="J79" s="65" t="inlineStr">
        <is>
          <t>n/a</t>
        </is>
      </c>
      <c r="N79" s="65" t="n"/>
      <c r="O79" s="63" t="inlineStr">
        <is>
          <t>Pontus</t>
        </is>
      </c>
      <c r="S79" s="95" t="n">
        <v>0</v>
      </c>
      <c r="T79" s="96" t="n"/>
      <c r="U79" s="97" t="inlineStr">
        <is>
          <t>2025-11-10</t>
        </is>
      </c>
      <c r="V79" s="95" t="n">
        <v>20309</v>
      </c>
      <c r="W79" s="97" t="inlineStr">
        <is>
          <t>2026-12-26</t>
        </is>
      </c>
      <c r="X79" s="98" t="inlineStr">
        <is>
          <t>https://example.com/w/property-79</t>
        </is>
      </c>
      <c r="Y79" s="98" t="n"/>
      <c r="Z79" s="98" t="n"/>
      <c r="AA79" s="98" t="inlineStr">
        <is>
          <t>TBD — replace with broker name + date</t>
        </is>
      </c>
      <c r="AB79" s="99" t="n">
        <v>3622000</v>
      </c>
      <c r="AC79" s="99" t="n">
        <v>3150000</v>
      </c>
      <c r="AD79" s="99" t="n">
        <v>2677000</v>
      </c>
      <c r="AE79" s="99" t="n">
        <v>3592000</v>
      </c>
      <c r="AF79" s="99" t="n">
        <v>3136000</v>
      </c>
      <c r="AG79" s="99" t="n">
        <v>2600000</v>
      </c>
      <c r="AH79" s="99" t="n">
        <v>3214000</v>
      </c>
      <c r="AI79" s="99">
        <f>AH79-AF79</f>
        <v/>
      </c>
      <c r="AJ79" s="100">
        <f>IF(AF79=0,"",AI79/AF79)</f>
        <v/>
      </c>
      <c r="AK79" s="101">
        <f>IF(AJ79="","",IF(AJ79&gt;=0.15,"STRONG",IF(AJ79&gt;=0.1,"FILE",IF(AJ79&gt;=0.07,"INVESTIGATE","PASS"))))</f>
        <v/>
      </c>
    </row>
    <row r="80" ht="15" customHeight="1" s="57">
      <c r="A80" s="89" t="inlineStr">
        <is>
          <t>2361 Admiral Wilson Blvd.</t>
        </is>
      </c>
      <c r="B80" s="63" t="inlineStr">
        <is>
          <t>Camden</t>
        </is>
      </c>
      <c r="C80" s="63" t="inlineStr">
        <is>
          <t>NJ</t>
        </is>
      </c>
      <c r="D80" s="90" t="n">
        <v>8109</v>
      </c>
      <c r="E80" s="91" t="inlineStr">
        <is>
          <t>PC Shell, LLC</t>
        </is>
      </c>
      <c r="F80" s="63" t="inlineStr">
        <is>
          <t>SH2361</t>
        </is>
      </c>
      <c r="G80" s="91" t="n"/>
      <c r="J80" s="65" t="inlineStr">
        <is>
          <t>n/a</t>
        </is>
      </c>
      <c r="N80" s="65" t="n"/>
      <c r="O80" s="63" t="inlineStr">
        <is>
          <t>Pontus</t>
        </is>
      </c>
      <c r="S80" s="95" t="n">
        <v>0</v>
      </c>
      <c r="T80" s="96" t="n"/>
      <c r="U80" s="97" t="inlineStr">
        <is>
          <t>2025-12-15</t>
        </is>
      </c>
      <c r="V80" s="95" t="n">
        <v>19306</v>
      </c>
      <c r="W80" s="97" t="inlineStr">
        <is>
          <t>2026-12-10</t>
        </is>
      </c>
      <c r="X80" s="98" t="inlineStr">
        <is>
          <t>https://example.com/w/property-80</t>
        </is>
      </c>
      <c r="Y80" s="98" t="n"/>
      <c r="Z80" s="98" t="n"/>
      <c r="AA80" s="98" t="inlineStr">
        <is>
          <t>TBD — replace with broker name + date</t>
        </is>
      </c>
      <c r="AB80" s="99" t="n">
        <v>3156000</v>
      </c>
      <c r="AC80" s="99" t="n">
        <v>2745000</v>
      </c>
      <c r="AD80" s="99" t="n">
        <v>2333000</v>
      </c>
      <c r="AE80" s="99" t="n">
        <v>3188000</v>
      </c>
      <c r="AF80" s="99" t="n">
        <v>2702000</v>
      </c>
      <c r="AG80" s="99" t="n">
        <v>2335000</v>
      </c>
      <c r="AH80" s="99" t="n">
        <v>3295000</v>
      </c>
      <c r="AI80" s="99">
        <f>AH80-AF80</f>
        <v/>
      </c>
      <c r="AJ80" s="100">
        <f>IF(AF80=0,"",AI80/AF80)</f>
        <v/>
      </c>
      <c r="AK80" s="101">
        <f>IF(AJ80="","",IF(AJ80&gt;=0.15,"STRONG",IF(AJ80&gt;=0.1,"FILE",IF(AJ80&gt;=0.07,"INVESTIGATE","PASS"))))</f>
        <v/>
      </c>
    </row>
    <row r="81" ht="15" customHeight="1" s="57">
      <c r="A81" s="89" t="inlineStr">
        <is>
          <t>2401 New Road</t>
        </is>
      </c>
      <c r="B81" s="63" t="inlineStr">
        <is>
          <t>Northfield</t>
        </is>
      </c>
      <c r="C81" s="63" t="inlineStr">
        <is>
          <t>NJ</t>
        </is>
      </c>
      <c r="D81" s="90" t="n">
        <v>8225</v>
      </c>
      <c r="E81" s="91" t="inlineStr">
        <is>
          <t>PC Shell, LLC</t>
        </is>
      </c>
      <c r="F81" s="63" t="inlineStr">
        <is>
          <t>SH2401</t>
        </is>
      </c>
      <c r="G81" s="91" t="n"/>
      <c r="J81" s="65" t="inlineStr">
        <is>
          <t>n/a</t>
        </is>
      </c>
      <c r="N81" s="65" t="n"/>
      <c r="O81" s="63" t="inlineStr">
        <is>
          <t>Pontus</t>
        </is>
      </c>
      <c r="S81" s="95" t="n">
        <v>0</v>
      </c>
      <c r="T81" s="96" t="n"/>
      <c r="U81" s="97" t="inlineStr">
        <is>
          <t>2025-11-19</t>
        </is>
      </c>
      <c r="V81" s="95" t="n">
        <v>15464</v>
      </c>
      <c r="W81" s="97" t="inlineStr">
        <is>
          <t>2026-12-14</t>
        </is>
      </c>
      <c r="X81" s="98" t="inlineStr">
        <is>
          <t>https://example.com/w/property-81</t>
        </is>
      </c>
      <c r="Y81" s="98" t="n"/>
      <c r="Z81" s="98" t="n"/>
      <c r="AA81" s="98" t="inlineStr">
        <is>
          <t>TBD — replace with broker name + date</t>
        </is>
      </c>
      <c r="AB81" s="99" t="n">
        <v>3122000</v>
      </c>
      <c r="AC81" s="99" t="n">
        <v>2715000</v>
      </c>
      <c r="AD81" s="99" t="n">
        <v>2307000</v>
      </c>
      <c r="AE81" s="99" t="n">
        <v>3097000</v>
      </c>
      <c r="AF81" s="99" t="n">
        <v>2758000</v>
      </c>
      <c r="AG81" s="99" t="n">
        <v>2286000</v>
      </c>
      <c r="AH81" s="99" t="n">
        <v>3041000</v>
      </c>
      <c r="AI81" s="99">
        <f>AH81-AF81</f>
        <v/>
      </c>
      <c r="AJ81" s="100">
        <f>IF(AF81=0,"",AI81/AF81)</f>
        <v/>
      </c>
      <c r="AK81" s="101">
        <f>IF(AJ81="","",IF(AJ81&gt;=0.15,"STRONG",IF(AJ81&gt;=0.1,"FILE",IF(AJ81&gt;=0.07,"INVESTIGATE","PASS"))))</f>
        <v/>
      </c>
    </row>
    <row r="82" ht="15" customHeight="1" s="57">
      <c r="A82" s="89" t="inlineStr">
        <is>
          <t>1100 Berlin Road (Route 561)</t>
        </is>
      </c>
      <c r="B82" s="63" t="inlineStr">
        <is>
          <t>Voorhees</t>
        </is>
      </c>
      <c r="C82" s="63" t="inlineStr">
        <is>
          <t>NJ</t>
        </is>
      </c>
      <c r="D82" s="90" t="n">
        <v>8043</v>
      </c>
      <c r="E82" s="91" t="inlineStr">
        <is>
          <t>PC Shell, LLC</t>
        </is>
      </c>
      <c r="F82" s="63" t="inlineStr">
        <is>
          <t>SH1100</t>
        </is>
      </c>
      <c r="G82" s="91" t="n"/>
      <c r="J82" s="65" t="inlineStr">
        <is>
          <t>n/a</t>
        </is>
      </c>
      <c r="N82" s="65" t="n"/>
      <c r="O82" s="63" t="inlineStr">
        <is>
          <t>Pontus</t>
        </is>
      </c>
      <c r="S82" s="95" t="n">
        <v>0</v>
      </c>
      <c r="T82" s="96" t="n"/>
      <c r="U82" s="97" t="inlineStr">
        <is>
          <t>2025-12-22</t>
        </is>
      </c>
      <c r="V82" s="95" t="n">
        <v>21607</v>
      </c>
      <c r="W82" s="97" t="inlineStr">
        <is>
          <t>2026-11-10</t>
        </is>
      </c>
      <c r="X82" s="98" t="inlineStr">
        <is>
          <t>https://example.com/w/property-82</t>
        </is>
      </c>
      <c r="Y82" s="98" t="n"/>
      <c r="Z82" s="98" t="n"/>
      <c r="AA82" s="98" t="inlineStr">
        <is>
          <t>TBD — replace with broker name + date</t>
        </is>
      </c>
      <c r="AB82" s="99" t="n">
        <v>3039000</v>
      </c>
      <c r="AC82" s="99" t="n">
        <v>2643000</v>
      </c>
      <c r="AD82" s="99" t="n">
        <v>2246000</v>
      </c>
      <c r="AE82" s="99" t="n">
        <v>2965000</v>
      </c>
      <c r="AF82" s="99" t="n">
        <v>2696000</v>
      </c>
      <c r="AG82" s="99" t="n">
        <v>2182000</v>
      </c>
      <c r="AH82" s="99" t="n">
        <v>2855000</v>
      </c>
      <c r="AI82" s="99">
        <f>AH82-AF82</f>
        <v/>
      </c>
      <c r="AJ82" s="100">
        <f>IF(AF82=0,"",AI82/AF82)</f>
        <v/>
      </c>
      <c r="AK82" s="101">
        <f>IF(AJ82="","",IF(AJ82&gt;=0.15,"STRONG",IF(AJ82&gt;=0.1,"FILE",IF(AJ82&gt;=0.07,"INVESTIGATE","PASS"))))</f>
        <v/>
      </c>
    </row>
    <row r="83" ht="15" customHeight="1" s="57">
      <c r="A83" s="109" t="inlineStr">
        <is>
          <t>1058 Delsea Drive (Route 47)</t>
        </is>
      </c>
      <c r="B83" s="110" t="inlineStr">
        <is>
          <t>Westville</t>
        </is>
      </c>
      <c r="C83" s="110" t="inlineStr">
        <is>
          <t>NJ</t>
        </is>
      </c>
      <c r="D83" s="111" t="n">
        <v>8903</v>
      </c>
      <c r="E83" s="112" t="inlineStr">
        <is>
          <t>PC Shell, LLC</t>
        </is>
      </c>
      <c r="F83" s="110" t="inlineStr">
        <is>
          <t>SH1058</t>
        </is>
      </c>
      <c r="G83" s="112" t="n"/>
      <c r="H83" s="110" t="n"/>
      <c r="I83" s="113" t="n"/>
      <c r="J83" s="114" t="inlineStr">
        <is>
          <t>n/a</t>
        </is>
      </c>
      <c r="K83" s="114" t="n"/>
      <c r="L83" s="114" t="n"/>
      <c r="M83" s="115" t="n"/>
      <c r="N83" s="114" t="n"/>
      <c r="O83" s="110" t="inlineStr">
        <is>
          <t>Pontus</t>
        </is>
      </c>
      <c r="P83" s="110" t="n"/>
      <c r="Q83" s="110" t="n"/>
      <c r="R83" s="110" t="n"/>
      <c r="S83" s="95" t="n">
        <v>0</v>
      </c>
      <c r="T83" s="96" t="n"/>
      <c r="U83" s="97" t="inlineStr">
        <is>
          <t>2025-12-22</t>
        </is>
      </c>
      <c r="V83" s="95" t="n">
        <v>14622</v>
      </c>
      <c r="W83" s="97" t="inlineStr">
        <is>
          <t>2026-11-25</t>
        </is>
      </c>
      <c r="X83" s="98" t="inlineStr">
        <is>
          <t>https://example.com/w/property-83</t>
        </is>
      </c>
      <c r="Y83" s="98" t="n"/>
      <c r="Z83" s="98" t="n"/>
      <c r="AA83" s="98" t="inlineStr">
        <is>
          <t>TBD — replace with broker name + date</t>
        </is>
      </c>
      <c r="AB83" s="99" t="n">
        <v>1612000</v>
      </c>
      <c r="AC83" s="99" t="n">
        <v>1402000</v>
      </c>
      <c r="AD83" s="99" t="n">
        <v>1191000</v>
      </c>
      <c r="AE83" s="99" t="n">
        <v>1607000</v>
      </c>
      <c r="AF83" s="99" t="n">
        <v>1363000</v>
      </c>
      <c r="AG83" s="99" t="n">
        <v>1209000</v>
      </c>
      <c r="AH83" s="99" t="n">
        <v>1431000</v>
      </c>
      <c r="AI83" s="99">
        <f>AH83-AF83</f>
        <v/>
      </c>
      <c r="AJ83" s="100">
        <f>IF(AF83=0,"",AI83/AF83)</f>
        <v/>
      </c>
      <c r="AK83" s="101">
        <f>IF(AJ83="","",IF(AJ83&gt;=0.15,"STRONG",IF(AJ83&gt;=0.1,"FILE",IF(AJ83&gt;=0.07,"INVESTIGATE","PASS"))))</f>
        <v/>
      </c>
    </row>
    <row r="84">
      <c r="T84" s="96" t="n"/>
    </row>
    <row r="85" ht="15" customFormat="1" customHeight="1" s="63">
      <c r="A85" s="62" t="n"/>
      <c r="I85" s="64" t="n"/>
      <c r="J85" s="116" t="n"/>
      <c r="K85" s="65" t="n"/>
      <c r="L85" s="65" t="n"/>
      <c r="M85" s="66" t="n"/>
      <c r="S85" s="67" t="n"/>
      <c r="T85" s="96"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row>
    <row r="86" ht="15" customFormat="1" customHeight="1" s="63">
      <c r="A86" s="62" t="n"/>
      <c r="I86" s="64" t="n"/>
      <c r="J86" s="116" t="n"/>
      <c r="K86" s="65" t="n"/>
      <c r="L86" s="65" t="n"/>
      <c r="M86" s="66" t="n"/>
      <c r="S86" s="67" t="n"/>
      <c r="T86" s="96"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row>
    <row r="87" ht="15" customFormat="1" customHeight="1" s="63">
      <c r="A87" s="62" t="n"/>
      <c r="I87" s="64" t="n"/>
      <c r="J87" s="65" t="n"/>
      <c r="K87" s="65" t="n"/>
      <c r="L87" s="65" t="n"/>
      <c r="M87" s="66" t="n"/>
      <c r="S87" s="67" t="n"/>
      <c r="T87" s="96"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row>
    <row r="88">
      <c r="T88" s="96" t="n"/>
    </row>
    <row r="89" ht="15" customFormat="1" customHeight="1" s="63">
      <c r="A89" s="62" t="n"/>
      <c r="I89" s="64" t="n"/>
      <c r="J89" s="65" t="n"/>
      <c r="K89" s="65" t="n"/>
      <c r="L89" s="65" t="n"/>
      <c r="M89" s="66" t="n"/>
      <c r="S89" s="67" t="n"/>
      <c r="T89" s="96"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row>
  </sheetData>
  <autoFilter ref="A3:R83"/>
  <mergeCells count="8">
    <mergeCell ref="X2:Z2"/>
    <mergeCell ref="AE2:AG2"/>
    <mergeCell ref="S2:W2"/>
    <mergeCell ref="E2:F2"/>
    <mergeCell ref="I2:M2"/>
    <mergeCell ref="AH2:AK2"/>
    <mergeCell ref="AA2:AD2"/>
    <mergeCell ref="A2:D2"/>
  </mergeCells>
  <conditionalFormatting sqref="A4:R83">
    <cfRule type="expression" rank="0" priority="2" equalAverage="0" aboveAverage="0" dxfId="5" text="" percent="0" bottom="0">
      <formula>MOD(ROW(),2)=1</formula>
    </cfRule>
  </conditionalFormatting>
  <conditionalFormatting sqref="A4:XFD1048576">
    <cfRule type="expression" rank="0" priority="3" equalAverage="0" aboveAverage="0" dxfId="6" text="" percent="0" bottom="0">
      <formula>MOD(ROW(),2)=1</formula>
    </cfRule>
  </conditionalFormatting>
  <conditionalFormatting sqref="AJ4:AJ83">
    <cfRule type="cellIs" rank="0" priority="4" equalAverage="0" operator="equal" aboveAverage="0" dxfId="7" text="" percent="0" bottom="0">
      <formula>"STRONG"</formula>
    </cfRule>
    <cfRule type="cellIs" rank="0" priority="5" equalAverage="0" operator="equal" aboveAverage="0" dxfId="8" text="" percent="0" bottom="0">
      <formula>"FILE"</formula>
    </cfRule>
    <cfRule type="cellIs" rank="0" priority="6" equalAverage="0" operator="equal" aboveAverage="0" dxfId="9" text="" percent="0" bottom="0">
      <formula>"INVESTIGATE"</formula>
    </cfRule>
    <cfRule type="cellIs" rank="0" priority="7" equalAverage="0" operator="equal" aboveAverage="0" dxfId="10" text="" percent="0" bottom="0">
      <formula>"PASS"</formula>
    </cfRule>
  </conditionalFormatting>
  <hyperlinks>
    <hyperlink xmlns:r="http://schemas.openxmlformats.org/officeDocument/2006/relationships" ref="R4" display="https://county-taxes.net/fl-clay/property-tax/Y2xheTpyZWFsX2VzdGF0ZTpwYXJlbnRzOjM2OTQwMzc0LTM0N2MtMTFlZC05NzQ1LThlM2ZlZjFhN2Q3MQ==" r:id="rId1"/>
    <hyperlink xmlns:r="http://schemas.openxmlformats.org/officeDocument/2006/relationships" ref="R5" display="https://county-taxes.net/fl-clay/fl-clay/property-tax/Y2xheTpyZWFsX2VzdGF0ZTpwYXJlbnRzOjUwMWFhMGI0LTM0N2MtMTFlZC1hZmNhLTMzN2E4MWM5MGY1MA==" r:id="rId2"/>
    <hyperlink xmlns:r="http://schemas.openxmlformats.org/officeDocument/2006/relationships" ref="R6" display="https://ptaxweb.putnamtax.com/ptaxweb/editPropertySearch2.action" r:id="rId3"/>
    <hyperlink xmlns:r="http://schemas.openxmlformats.org/officeDocument/2006/relationships" ref="R7" display="https://www.stjohnstax.us/PropertyDetail?p=173800-0030&amp;y=2024&amp;b=127955.0000" r:id="rId4"/>
    <hyperlink xmlns:r="http://schemas.openxmlformats.org/officeDocument/2006/relationships" ref="R8" display="https://pbctax.publicaccessnow.com/PropertyTax/Account/BillDetail.aspx?p=74-43-43-21-01-043-0050&amp;t=Real%20Property&amp;a=1418360&amp;b=26795046&amp;y=2024&amp;n=101606030" r:id="rId5"/>
    <hyperlink xmlns:r="http://schemas.openxmlformats.org/officeDocument/2006/relationships" ref="R9" display="https://pinellastaxcollector.gov/property-tax/" r:id="rId6"/>
    <hyperlink xmlns:r="http://schemas.openxmlformats.org/officeDocument/2006/relationships" ref="R10" display="www.broward.org" r:id="rId7"/>
    <hyperlink xmlns:r="http://schemas.openxmlformats.org/officeDocument/2006/relationships" ref="R11" display="https://county-taxes.net/fl-collier/property-tax/Y29sbGllcjpyZWFsX2VzdGF0ZTpwYXJlbnRzOmQ0MzUyMmQ5LWU1MDgtMTFlYi1hODBmLTAwNTA1NjgxYTJiNw==" r:id="rId8"/>
    <hyperlink xmlns:r="http://schemas.openxmlformats.org/officeDocument/2006/relationships" ref="R12" display="https://www.pbctax.com/real-estate-property-tax/" r:id="rId9"/>
    <hyperlink xmlns:r="http://schemas.openxmlformats.org/officeDocument/2006/relationships" ref="R13" display="https://common2.mptsweb.com/MBC/lake/tax/main/026301280000/2024/0000" r:id="rId10"/>
    <hyperlink xmlns:r="http://schemas.openxmlformats.org/officeDocument/2006/relationships" ref="R14" display="https://parcelinquirytreasurer.cochise.az.gov/Parcel/PaymentHistory?parcelNumber=40909081D0&amp;taxYear=2024" r:id="rId11"/>
    <hyperlink xmlns:r="http://schemas.openxmlformats.org/officeDocument/2006/relationships" ref="R15" display="http://www.to.pima.gov/" r:id="rId12"/>
    <hyperlink xmlns:r="http://schemas.openxmlformats.org/officeDocument/2006/relationships" ref="R16" display="https://www.bernco.gov/treasurer/paying-your-property-taxes-overview/" r:id="rId13"/>
    <hyperlink xmlns:r="http://schemas.openxmlformats.org/officeDocument/2006/relationships" ref="R17" display="https://www.hennepin.us/propertytaxpayments/" r:id="rId14"/>
    <hyperlink xmlns:r="http://schemas.openxmlformats.org/officeDocument/2006/relationships" ref="R18" display="https://tax.egov.basgov.com/riverhead/TaxBill/BillDetailsPaymentOptions?TaxBillID=93938c45-39ac-ef11-9968-509a4c486007" r:id="rId15"/>
    <hyperlink xmlns:r="http://schemas.openxmlformats.org/officeDocument/2006/relationships" ref="R19" display="https://tax.egov.basgov.com/riverhead/TaxBill/BillDetailsPaymentOptions?TaxBillID=93938c45-39ac-ef11-9968-509a4c486007" r:id="rId16"/>
    <hyperlink xmlns:r="http://schemas.openxmlformats.org/officeDocument/2006/relationships" ref="R20" display="https://chesterfield.virginiainteractive.org/Treasurer/Main" r:id="rId17"/>
    <hyperlink xmlns:r="http://schemas.openxmlformats.org/officeDocument/2006/relationships" ref="R21" display="https://pay.vbepay.com/Citizen/ViewAccount/364817" r:id="rId18"/>
    <hyperlink xmlns:r="http://schemas.openxmlformats.org/officeDocument/2006/relationships" ref="R23" display="https://publicaccess.dekalbtax.org/Datalets/Datalet.aspx?sIndex=2&amp;idx=1" r:id="rId19"/>
    <hyperlink xmlns:r="http://schemas.openxmlformats.org/officeDocument/2006/relationships" ref="R24" display="https://muscogeecountyga.governmentwindow.com/select_bill.html?search_mode=search2&amp;tax_year=2018&amp;name=&amp;map_code=085+008+002&amp;address=" r:id="rId20"/>
    <hyperlink xmlns:r="http://schemas.openxmlformats.org/officeDocument/2006/relationships" ref="R25" display="https://www.fultoncountytaxes.org/propertytax/summary/17%20000600030484" r:id="rId21"/>
    <hyperlink xmlns:r="http://schemas.openxmlformats.org/officeDocument/2006/relationships" ref="R26" location="taxPage4546" display="https://wipp.edmundsassoc.com/Wipp/?wippid=0417#taxPage4546" r:id="rId22"/>
    <hyperlink xmlns:r="http://schemas.openxmlformats.org/officeDocument/2006/relationships" ref="R27" display="www.solanocounty.com" r:id="rId23"/>
    <hyperlink xmlns:r="http://schemas.openxmlformats.org/officeDocument/2006/relationships" ref="R28" display="www.solanocounty.com" r:id="rId24"/>
    <hyperlink xmlns:r="http://schemas.openxmlformats.org/officeDocument/2006/relationships" ref="R29" display="www.solanocounty.com" r:id="rId25"/>
    <hyperlink xmlns:r="http://schemas.openxmlformats.org/officeDocument/2006/relationships" ref="R30" display="https://common3.mptsweb.com/MBC/eldorado/tax/main/327130040000/2024/0000" r:id="rId26"/>
    <hyperlink xmlns:r="http://schemas.openxmlformats.org/officeDocument/2006/relationships" ref="R31" display="https://common3.mptsweb.com/MBC/placer/tax/main/048520006000/2024/0000" r:id="rId27"/>
    <hyperlink xmlns:r="http://schemas.openxmlformats.org/officeDocument/2006/relationships" ref="R32" display="https://common3.mptsweb.com/MBC/tuolumne/tax/main/001201010000/2024/0000" r:id="rId28"/>
    <hyperlink xmlns:r="http://schemas.openxmlformats.org/officeDocument/2006/relationships" ref="R33" display="www.rpso.org" r:id="rId29"/>
    <hyperlink xmlns:r="http://schemas.openxmlformats.org/officeDocument/2006/relationships" ref="R34" display="https://snstaxpayments.com/ebr" r:id="rId30"/>
    <hyperlink xmlns:r="http://schemas.openxmlformats.org/officeDocument/2006/relationships" ref="R35" display="https://snstaxpayments.com/calcasieu" r:id="rId31"/>
    <hyperlink xmlns:r="http://schemas.openxmlformats.org/officeDocument/2006/relationships" ref="R36" display="https://snstaxpayments.com/stlandry" r:id="rId32"/>
    <hyperlink xmlns:r="http://schemas.openxmlformats.org/officeDocument/2006/relationships" ref="R37" display="https://www.bgky.org/property-tax-search/invoices/156635" r:id="rId33"/>
    <hyperlink xmlns:r="http://schemas.openxmlformats.org/officeDocument/2006/relationships" ref="R38" display="https://www.bgky.org/property-tax-search/invoices/156635" r:id="rId34"/>
    <hyperlink xmlns:r="http://schemas.openxmlformats.org/officeDocument/2006/relationships" ref="R39" display="https://services.wake.gov/ptax/main/billing/acctsummary.aspx?search=acct&amp;yrs=2&amp;id=229546" r:id="rId35"/>
    <hyperlink xmlns:r="http://schemas.openxmlformats.org/officeDocument/2006/relationships" ref="R40" display="https://bcpwa.ncptscloud.com/guilfordtax/BillDetails.aspx?BillPk=11242368" r:id="rId36"/>
    <hyperlink xmlns:r="http://schemas.openxmlformats.org/officeDocument/2006/relationships" ref="R41" display="http://www.co.cumberland.nc.us/tax/payments/" r:id="rId37"/>
    <hyperlink xmlns:r="http://schemas.openxmlformats.org/officeDocument/2006/relationships" ref="R42" display="https://secure.webtaxpay.com/?county=franklin&amp;state=NC" r:id="rId38"/>
    <hyperlink xmlns:r="http://schemas.openxmlformats.org/officeDocument/2006/relationships" ref="R43" display="http://taxweb.guilfordcountync.gov/PublicWebAccess/" r:id="rId39"/>
    <hyperlink xmlns:r="http://schemas.openxmlformats.org/officeDocument/2006/relationships" ref="R44" display="http://taxweb.guilfordcountync.gov/PublicWebAccess/" r:id="rId40"/>
    <hyperlink xmlns:r="http://schemas.openxmlformats.org/officeDocument/2006/relationships" ref="R45" display="http://www.forsyth.cc/tax/taxbill.aspx" r:id="rId41"/>
    <hyperlink xmlns:r="http://schemas.openxmlformats.org/officeDocument/2006/relationships" ref="R46" display="http://www.wakegov.com/tax/Pages/default.aspx" r:id="rId42"/>
    <hyperlink xmlns:r="http://schemas.openxmlformats.org/officeDocument/2006/relationships" ref="R47" display="https://nashcountync.gov/498/Tax-Payments" r:id="rId43"/>
    <hyperlink xmlns:r="http://schemas.openxmlformats.org/officeDocument/2006/relationships" ref="R48" display="http://www.forsyth.cc/tax/taxbill.aspx" r:id="rId44"/>
    <hyperlink xmlns:r="http://schemas.openxmlformats.org/officeDocument/2006/relationships" ref="R49" display="https://publicaccess.claytoncountyga.gov/search/CommonSearch.aspx?mode=REALPROP" r:id="rId45"/>
    <hyperlink xmlns:r="http://schemas.openxmlformats.org/officeDocument/2006/relationships" ref="R50" display="https://publicaccess.claytoncountyga.gov/search/CommonSearch.aspx?mode=REALPROP" r:id="rId46"/>
    <hyperlink xmlns:r="http://schemas.openxmlformats.org/officeDocument/2006/relationships" ref="R51" display="www.taylor-cad.org" r:id="rId47"/>
    <hyperlink xmlns:r="http://schemas.openxmlformats.org/officeDocument/2006/relationships" ref="R52" display="http://iswdataclient.azurewebsites.net/webSearchID.aspx?dbkey=midlandcad" r:id="rId48"/>
    <hyperlink xmlns:r="http://schemas.openxmlformats.org/officeDocument/2006/relationships" ref="R53" location="/Search" display="https://ascent.co.manitowoc.wi.us/LandRecords/PropertyListing/RealEstateTaxParcel#/Search" r:id="rId49"/>
    <hyperlink xmlns:r="http://schemas.openxmlformats.org/officeDocument/2006/relationships" ref="R58" display="https://esearch.hctax.info/Property/View/23748?year=2024&amp;ownerId=1385747" r:id="rId50"/>
    <hyperlink xmlns:r="http://schemas.openxmlformats.org/officeDocument/2006/relationships" ref="R62" display="https://taxweb.dentoncounty.gov/Accounts/AccountDetails?taxAccountNumber=204320DEN" r:id="rId51"/>
    <hyperlink xmlns:r="http://schemas.openxmlformats.org/officeDocument/2006/relationships" ref="R66" display="https://county-taxes.net/hillsborough/hillsborough/property-tax/aGlsbHNib3JvdWdoOnJlYWxfZXN0YXRlOnBhcmVudHM6ZjYxM2RkNGQtZTUwOS0xMWViLWFmNmMtMDA1MDU2ODFiMmNm/bills/b3f75606-85a3-11ef-b227-00505681f4ed" r:id="rId52"/>
    <hyperlink xmlns:r="http://schemas.openxmlformats.org/officeDocument/2006/relationships" ref="R67" display="https://county-taxes.net/charlotte/property-tax/Y2hhcmxvdHRlOnJlYWxfZXN0YXRlOnBhcmVudHM6ZmRhZjExNTEtZTUwOS0xMWViLTk1NGItMDA1MDU2ODFjYmE3" r:id="rId53"/>
    <hyperlink xmlns:r="http://schemas.openxmlformats.org/officeDocument/2006/relationships" ref="R68" display="https://county-taxes.net/fl-pasco/property-tax/cGFzY286cmVhbF9lc3RhdGU6cGFyZW50czpiYTM1MjBmMS1lMzY4LTExZWItOGVkMi0wMDUwNTY4MWFmMWU=" r:id="rId54"/>
    <hyperlink xmlns:r="http://schemas.openxmlformats.org/officeDocument/2006/relationships" ref="R69" display="https://county-taxes.net/pinellas/property-tax/cGluZWxsYXM6cmVhbF9lc3RhdGU6cGFyZW50czpiYTYyMzFiZC1lMzY4LTExZWItOTRkMS0wMDUwNTY4MTUwMjg=" r:id="rId55"/>
    <hyperlink xmlns:r="http://schemas.openxmlformats.org/officeDocument/2006/relationships" ref="R70" display="https://county-taxes.net/broward/property-tax/YnJvd2FyZDpyZWFsX2VzdGF0ZTpwYXJlbnRzOjAxMDNkNzlhLWU1MGEtMTFlYi1iYTM4LTAwNTA1NjgxOTMzNA==" r:id="rId56"/>
    <hyperlink xmlns:r="http://schemas.openxmlformats.org/officeDocument/2006/relationships" ref="R71" display="https://county-taxes.net/indianriver/property-tax/aW5kaWFucml2ZXI6cmVhbF9lc3RhdGU6cGFyZW50czpmNDJjMWJhOC1lNTA5LTExZWItOTQ2Ny0wMDUwNTY4MTg3MTA=" r:id="rId57"/>
    <hyperlink xmlns:r="http://schemas.openxmlformats.org/officeDocument/2006/relationships" ref="R72" display="https://county-taxes.net/fl-flagler/property-tax/ZmxhZ2xlcjpyZWFsX2VzdGF0ZTpwYXJlbnRzOmY0MDMyY2JlLWU1MDktMTFlYi05NDY3LTAwNTA1NjgxODcxMA==" r:id="rId58"/>
    <hyperlink xmlns:r="http://schemas.openxmlformats.org/officeDocument/2006/relationships" ref="R73" display="https://broward.county-taxes.com/public/search/property_tax?action_location=Landing+Page" r:id="rId59"/>
    <hyperlink xmlns:r="http://schemas.openxmlformats.org/officeDocument/2006/relationships" ref="R74" display="https://miamidade.county-taxes.com/public" r:id="rId60"/>
    <hyperlink xmlns:r="http://schemas.openxmlformats.org/officeDocument/2006/relationships" ref="R77" display="https://miamidade.county-taxes.com/public" r:id="rId61"/>
  </hyperlinks>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Nick Pribuss</dc:creator>
  <dc:language>en-US</dc:language>
  <dcterms:created xsi:type="dcterms:W3CDTF">2026-06-18T16:38:17Z</dcterms:created>
  <dcterms:modified xsi:type="dcterms:W3CDTF">2026-06-23T18:02:53Z</dcterms:modified>
  <cp:lastModifiedBy>Nick Pribuss</cp:lastModifiedBy>
  <cp:revision>0</cp:revision>
</cp:coreProperties>
</file>