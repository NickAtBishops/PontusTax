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ontuscapital-my.sharepoint.com/personal/npribuss_pontuscapital_com/Documents/- NMP Portfolio Managment/Intern File Share/"/>
    </mc:Choice>
  </mc:AlternateContent>
  <xr:revisionPtr revIDLastSave="0" documentId="8_{BB1C6516-8298-4EE5-87F0-6F66ACC2ADF1}" xr6:coauthVersionLast="47" xr6:coauthVersionMax="47" xr10:uidLastSave="{00000000-0000-0000-0000-000000000000}"/>
  <bookViews>
    <workbookView xWindow="-120" yWindow="-120" windowWidth="30960" windowHeight="16800" xr2:uid="{1A1E81BC-8DC7-4510-9071-E7697A0C3525}"/>
  </bookViews>
  <sheets>
    <sheet name="Corp Financials " sheetId="1" r:id="rId1"/>
    <sheet name="P&amp;Ls" sheetId="2" r:id="rId2"/>
  </sheets>
  <externalReferences>
    <externalReference r:id="rId3"/>
    <externalReference r:id="rId4"/>
  </externalReferences>
  <definedNames>
    <definedName name="_xlnm._FilterDatabase" localSheetId="0" hidden="1">'Corp Financials '!$A$3:$LF$28</definedName>
    <definedName name="_xlnm._FilterDatabase" localSheetId="1" hidden="1">'P&amp;Ls'!$A$3:$FX$47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B45" i="2" l="1"/>
  <c r="EV45" i="2"/>
  <c r="ET45" i="2"/>
  <c r="ES45" i="2"/>
  <c r="ER45" i="2"/>
  <c r="EQ45" i="2"/>
  <c r="EP45" i="2"/>
  <c r="EO45" i="2"/>
  <c r="EN45" i="2"/>
  <c r="EM45" i="2"/>
  <c r="EL45" i="2"/>
  <c r="EK45" i="2"/>
  <c r="EJ45" i="2"/>
  <c r="EI45" i="2"/>
  <c r="EC45" i="2"/>
  <c r="EA45" i="2"/>
  <c r="DX45" i="2"/>
  <c r="DW45" i="2"/>
  <c r="DP45" i="2"/>
  <c r="DH45" i="2"/>
  <c r="DG45" i="2"/>
  <c r="DD45" i="2"/>
  <c r="DA45" i="2"/>
  <c r="CW45" i="2"/>
  <c r="CV45" i="2"/>
  <c r="FJ45" i="2" s="1"/>
  <c r="CT45" i="2"/>
  <c r="EY45" i="2" s="1"/>
  <c r="CS45" i="2"/>
  <c r="EX45" i="2" s="1"/>
  <c r="CR45" i="2"/>
  <c r="EW45" i="2" s="1"/>
  <c r="BY45" i="2"/>
  <c r="DK45" i="2" s="1"/>
  <c r="BX45" i="2"/>
  <c r="DJ45" i="2" s="1"/>
  <c r="BW45" i="2"/>
  <c r="BV45" i="2"/>
  <c r="DZ45" i="2" s="1"/>
  <c r="BU45" i="2"/>
  <c r="DF45" i="2" s="1"/>
  <c r="BT45" i="2"/>
  <c r="CC45" i="2" s="1"/>
  <c r="BR45" i="2"/>
  <c r="BQ45" i="2"/>
  <c r="DC45" i="2" s="1"/>
  <c r="BP45" i="2"/>
  <c r="DB45" i="2" s="1"/>
  <c r="BO45" i="2"/>
  <c r="BZ45" i="2" s="1"/>
  <c r="BN45" i="2"/>
  <c r="CZ45" i="2" s="1"/>
  <c r="BM45" i="2"/>
  <c r="CY45" i="2" s="1"/>
  <c r="BL45" i="2"/>
  <c r="DQ45" i="2" s="1"/>
  <c r="BK45" i="2"/>
  <c r="BJ45" i="2"/>
  <c r="FF45" i="2" s="1"/>
  <c r="FG45" i="2" s="1"/>
  <c r="BH45" i="2"/>
  <c r="BG45" i="2"/>
  <c r="AQ45" i="2"/>
  <c r="FD45" i="2" s="1"/>
  <c r="FE45" i="2" s="1"/>
  <c r="AP45" i="2"/>
  <c r="AO45" i="2"/>
  <c r="I45" i="2"/>
  <c r="H45" i="2"/>
  <c r="G45" i="2"/>
  <c r="F45" i="2"/>
  <c r="E45" i="2"/>
  <c r="D45" i="2"/>
  <c r="C45" i="2"/>
  <c r="FB44" i="2"/>
  <c r="EW44" i="2"/>
  <c r="EV44" i="2"/>
  <c r="ET44" i="2"/>
  <c r="ES44" i="2"/>
  <c r="ER44" i="2"/>
  <c r="EQ44" i="2"/>
  <c r="EP44" i="2"/>
  <c r="EO44" i="2"/>
  <c r="EN44" i="2"/>
  <c r="EM44" i="2"/>
  <c r="EL44" i="2"/>
  <c r="EK44" i="2"/>
  <c r="EJ44" i="2"/>
  <c r="EI44" i="2"/>
  <c r="ED44" i="2"/>
  <c r="EC44" i="2"/>
  <c r="DY44" i="2"/>
  <c r="DX44" i="2"/>
  <c r="DW44" i="2"/>
  <c r="DV44" i="2"/>
  <c r="DU44" i="2"/>
  <c r="DT44" i="2"/>
  <c r="DS44" i="2"/>
  <c r="DK44" i="2"/>
  <c r="DF44" i="2"/>
  <c r="DE44" i="2"/>
  <c r="DD44" i="2"/>
  <c r="DA44" i="2"/>
  <c r="CZ44" i="2"/>
  <c r="CY44" i="2"/>
  <c r="CV44" i="2"/>
  <c r="CT44" i="2"/>
  <c r="CS44" i="2"/>
  <c r="CR44" i="2"/>
  <c r="CA44" i="2"/>
  <c r="BY44" i="2"/>
  <c r="BX44" i="2"/>
  <c r="DJ44" i="2" s="1"/>
  <c r="BW44" i="2"/>
  <c r="DH44" i="2" s="1"/>
  <c r="BV44" i="2"/>
  <c r="DZ44" i="2" s="1"/>
  <c r="BU44" i="2"/>
  <c r="BT44" i="2"/>
  <c r="CC44" i="2" s="1"/>
  <c r="BR44" i="2"/>
  <c r="BQ44" i="2"/>
  <c r="BZ44" i="2" s="1"/>
  <c r="BP44" i="2"/>
  <c r="DB44" i="2" s="1"/>
  <c r="BO44" i="2"/>
  <c r="BN44" i="2"/>
  <c r="BM44" i="2"/>
  <c r="DR44" i="2" s="1"/>
  <c r="BL44" i="2"/>
  <c r="BK44" i="2"/>
  <c r="BJ44" i="2"/>
  <c r="FF44" i="2" s="1"/>
  <c r="FG44" i="2" s="1"/>
  <c r="BH44" i="2"/>
  <c r="BG44" i="2"/>
  <c r="AQ44" i="2"/>
  <c r="FD44" i="2" s="1"/>
  <c r="FE44" i="2" s="1"/>
  <c r="AP44" i="2"/>
  <c r="AO44" i="2"/>
  <c r="I44" i="2"/>
  <c r="H44" i="2"/>
  <c r="G44" i="2"/>
  <c r="F44" i="2"/>
  <c r="E44" i="2"/>
  <c r="D44" i="2"/>
  <c r="C44" i="2"/>
  <c r="FG43" i="2"/>
  <c r="FF43" i="2"/>
  <c r="FD43" i="2"/>
  <c r="FE43" i="2" s="1"/>
  <c r="FB43" i="2"/>
  <c r="EW43" i="2"/>
  <c r="EV43" i="2"/>
  <c r="ET43" i="2"/>
  <c r="ES43" i="2"/>
  <c r="ER43" i="2"/>
  <c r="EQ43" i="2"/>
  <c r="EP43" i="2"/>
  <c r="EO43" i="2"/>
  <c r="EN43" i="2"/>
  <c r="EM43" i="2"/>
  <c r="EL43" i="2"/>
  <c r="EK43" i="2"/>
  <c r="EJ43" i="2"/>
  <c r="EI43" i="2"/>
  <c r="ED43" i="2"/>
  <c r="EC43" i="2"/>
  <c r="DT43" i="2"/>
  <c r="DS43" i="2"/>
  <c r="DK43" i="2"/>
  <c r="DJ43" i="2"/>
  <c r="DH43" i="2"/>
  <c r="DG43" i="2"/>
  <c r="DF43" i="2"/>
  <c r="DD43" i="2"/>
  <c r="CZ43" i="2"/>
  <c r="CX43" i="2"/>
  <c r="CV43" i="2"/>
  <c r="CT43" i="2"/>
  <c r="CS43" i="2"/>
  <c r="EX43" i="2" s="1"/>
  <c r="CR43" i="2"/>
  <c r="BY43" i="2"/>
  <c r="BX43" i="2"/>
  <c r="BW43" i="2"/>
  <c r="EA43" i="2" s="1"/>
  <c r="BV43" i="2"/>
  <c r="DZ43" i="2" s="1"/>
  <c r="BU43" i="2"/>
  <c r="DY43" i="2" s="1"/>
  <c r="BT43" i="2"/>
  <c r="BR43" i="2"/>
  <c r="DW43" i="2" s="1"/>
  <c r="BQ43" i="2"/>
  <c r="BP43" i="2"/>
  <c r="DB43" i="2" s="1"/>
  <c r="BO43" i="2"/>
  <c r="DA43" i="2" s="1"/>
  <c r="BN43" i="2"/>
  <c r="BM43" i="2"/>
  <c r="CY43" i="2" s="1"/>
  <c r="BL43" i="2"/>
  <c r="DQ43" i="2" s="1"/>
  <c r="BK43" i="2"/>
  <c r="CW43" i="2" s="1"/>
  <c r="BJ43" i="2"/>
  <c r="BH43" i="2"/>
  <c r="BG43" i="2"/>
  <c r="AQ43" i="2"/>
  <c r="AP43" i="2"/>
  <c r="AO43" i="2"/>
  <c r="I43" i="2"/>
  <c r="H43" i="2"/>
  <c r="G43" i="2"/>
  <c r="F43" i="2"/>
  <c r="E43" i="2"/>
  <c r="D43" i="2"/>
  <c r="C43" i="2"/>
  <c r="FF42" i="2"/>
  <c r="FG42" i="2" s="1"/>
  <c r="FD42" i="2"/>
  <c r="FB42" i="2"/>
  <c r="EV42" i="2"/>
  <c r="ET42" i="2"/>
  <c r="ES42" i="2"/>
  <c r="ER42" i="2"/>
  <c r="EQ42" i="2"/>
  <c r="EP42" i="2"/>
  <c r="EO42" i="2"/>
  <c r="EN42" i="2"/>
  <c r="EM42" i="2"/>
  <c r="EL42" i="2"/>
  <c r="EK42" i="2"/>
  <c r="EJ42" i="2"/>
  <c r="EI42" i="2"/>
  <c r="EC42" i="2"/>
  <c r="EA42" i="2"/>
  <c r="DZ42" i="2"/>
  <c r="DX42" i="2"/>
  <c r="DW42" i="2"/>
  <c r="DV42" i="2"/>
  <c r="DU42" i="2"/>
  <c r="DT42" i="2"/>
  <c r="DS42" i="2"/>
  <c r="DR42" i="2"/>
  <c r="DQ42" i="2"/>
  <c r="DP42" i="2"/>
  <c r="DJ42" i="2"/>
  <c r="DH42" i="2"/>
  <c r="DG42" i="2"/>
  <c r="DF42" i="2"/>
  <c r="DE42" i="2"/>
  <c r="DD42" i="2"/>
  <c r="DC42" i="2"/>
  <c r="DB42" i="2"/>
  <c r="DA42" i="2"/>
  <c r="CZ42" i="2"/>
  <c r="CY42" i="2"/>
  <c r="CX42" i="2"/>
  <c r="CW42" i="2"/>
  <c r="CV42" i="2"/>
  <c r="CT42" i="2"/>
  <c r="EY42" i="2" s="1"/>
  <c r="CS42" i="2"/>
  <c r="EX42" i="2" s="1"/>
  <c r="CR42" i="2"/>
  <c r="CC42" i="2"/>
  <c r="CA42" i="2"/>
  <c r="BZ42" i="2"/>
  <c r="BY42" i="2"/>
  <c r="DK42" i="2" s="1"/>
  <c r="BU42" i="2"/>
  <c r="DY42" i="2" s="1"/>
  <c r="BT42" i="2"/>
  <c r="BJ42" i="2"/>
  <c r="BH42" i="2"/>
  <c r="BG42" i="2"/>
  <c r="BF42" i="2"/>
  <c r="I42" i="2"/>
  <c r="H42" i="2"/>
  <c r="G42" i="2"/>
  <c r="F42" i="2"/>
  <c r="E42" i="2"/>
  <c r="D42" i="2"/>
  <c r="C42" i="2"/>
  <c r="FJ41" i="2"/>
  <c r="FN41" i="2" s="1"/>
  <c r="FG41" i="2"/>
  <c r="FD41" i="2"/>
  <c r="FB41" i="2"/>
  <c r="EV41" i="2"/>
  <c r="ET41" i="2"/>
  <c r="ES41" i="2"/>
  <c r="ER41" i="2"/>
  <c r="EQ41" i="2"/>
  <c r="EP41" i="2"/>
  <c r="EO41" i="2"/>
  <c r="EN41" i="2"/>
  <c r="EM41" i="2"/>
  <c r="EL41" i="2"/>
  <c r="EK41" i="2"/>
  <c r="EJ41" i="2"/>
  <c r="EI41" i="2"/>
  <c r="EC41" i="2"/>
  <c r="EA41" i="2"/>
  <c r="DZ41" i="2"/>
  <c r="DW41" i="2"/>
  <c r="DV41" i="2"/>
  <c r="DU41" i="2"/>
  <c r="DT41" i="2"/>
  <c r="DS41" i="2"/>
  <c r="DR41" i="2"/>
  <c r="DQ41" i="2"/>
  <c r="DP41" i="2"/>
  <c r="DL41" i="2"/>
  <c r="DK41" i="2"/>
  <c r="DJ41" i="2"/>
  <c r="DH41" i="2"/>
  <c r="DG41" i="2"/>
  <c r="DD41" i="2"/>
  <c r="DC41" i="2"/>
  <c r="DB41" i="2"/>
  <c r="DA41" i="2"/>
  <c r="CZ41" i="2"/>
  <c r="CY41" i="2"/>
  <c r="CX41" i="2"/>
  <c r="CW41" i="2"/>
  <c r="CV41" i="2"/>
  <c r="FA41" i="2" s="1"/>
  <c r="CT41" i="2"/>
  <c r="CS41" i="2"/>
  <c r="EX41" i="2" s="1"/>
  <c r="CR41" i="2"/>
  <c r="EW41" i="2" s="1"/>
  <c r="BZ41" i="2"/>
  <c r="BY41" i="2"/>
  <c r="ED41" i="2" s="1"/>
  <c r="BU41" i="2"/>
  <c r="BT41" i="2"/>
  <c r="BJ41" i="2"/>
  <c r="FF41" i="2" s="1"/>
  <c r="BH41" i="2"/>
  <c r="BG41" i="2"/>
  <c r="BF41" i="2"/>
  <c r="I41" i="2"/>
  <c r="H41" i="2"/>
  <c r="G41" i="2"/>
  <c r="F41" i="2"/>
  <c r="E41" i="2"/>
  <c r="D41" i="2"/>
  <c r="C41" i="2"/>
  <c r="FF40" i="2"/>
  <c r="FB40" i="2"/>
  <c r="FA40" i="2"/>
  <c r="EW40" i="2"/>
  <c r="EV40" i="2"/>
  <c r="ET40" i="2"/>
  <c r="ES40" i="2"/>
  <c r="ER40" i="2"/>
  <c r="EQ40" i="2"/>
  <c r="EP40" i="2"/>
  <c r="EO40" i="2"/>
  <c r="EN40" i="2"/>
  <c r="EM40" i="2"/>
  <c r="EL40" i="2"/>
  <c r="EK40" i="2"/>
  <c r="EJ40" i="2"/>
  <c r="EI40" i="2"/>
  <c r="ED40" i="2"/>
  <c r="DT40" i="2"/>
  <c r="DS40" i="2"/>
  <c r="DP40" i="2"/>
  <c r="DK40" i="2"/>
  <c r="DJ40" i="2"/>
  <c r="DH40" i="2"/>
  <c r="DG40" i="2"/>
  <c r="DF40" i="2"/>
  <c r="DE40" i="2"/>
  <c r="DC40" i="2"/>
  <c r="CZ40" i="2"/>
  <c r="CW40" i="2"/>
  <c r="CV40" i="2"/>
  <c r="FJ40" i="2" s="1"/>
  <c r="FN40" i="2" s="1"/>
  <c r="CT40" i="2"/>
  <c r="EY40" i="2" s="1"/>
  <c r="CS40" i="2"/>
  <c r="CR40" i="2"/>
  <c r="BY40" i="2"/>
  <c r="BX40" i="2"/>
  <c r="EC40" i="2" s="1"/>
  <c r="BW40" i="2"/>
  <c r="EA40" i="2" s="1"/>
  <c r="BV40" i="2"/>
  <c r="DZ40" i="2" s="1"/>
  <c r="BU40" i="2"/>
  <c r="DY40" i="2" s="1"/>
  <c r="BT40" i="2"/>
  <c r="DX40" i="2" s="1"/>
  <c r="BR40" i="2"/>
  <c r="BQ40" i="2"/>
  <c r="DV40" i="2" s="1"/>
  <c r="BP40" i="2"/>
  <c r="BO40" i="2"/>
  <c r="DA40" i="2" s="1"/>
  <c r="BN40" i="2"/>
  <c r="BM40" i="2"/>
  <c r="CY40" i="2" s="1"/>
  <c r="BL40" i="2"/>
  <c r="CX40" i="2" s="1"/>
  <c r="BK40" i="2"/>
  <c r="BJ40" i="2"/>
  <c r="BH40" i="2"/>
  <c r="BG40" i="2"/>
  <c r="FG40" i="2" s="1"/>
  <c r="AI40" i="2"/>
  <c r="AF40" i="2"/>
  <c r="AE40" i="2"/>
  <c r="AO40" i="2" s="1"/>
  <c r="I40" i="2"/>
  <c r="H40" i="2"/>
  <c r="G40" i="2"/>
  <c r="F40" i="2"/>
  <c r="E40" i="2"/>
  <c r="D40" i="2"/>
  <c r="C40" i="2"/>
  <c r="FF39" i="2"/>
  <c r="FG39" i="2" s="1"/>
  <c r="FD39" i="2"/>
  <c r="FB39" i="2"/>
  <c r="EY39" i="2"/>
  <c r="EX39" i="2"/>
  <c r="EV39" i="2"/>
  <c r="ET39" i="2"/>
  <c r="ES39" i="2"/>
  <c r="ER39" i="2"/>
  <c r="EQ39" i="2"/>
  <c r="EP39" i="2"/>
  <c r="EO39" i="2"/>
  <c r="EN39" i="2"/>
  <c r="EM39" i="2"/>
  <c r="EL39" i="2"/>
  <c r="EK39" i="2"/>
  <c r="EJ39" i="2"/>
  <c r="EI39" i="2"/>
  <c r="EE39" i="2"/>
  <c r="FM39" i="2" s="1"/>
  <c r="EC39" i="2"/>
  <c r="EA39" i="2"/>
  <c r="DZ39" i="2"/>
  <c r="DY39" i="2"/>
  <c r="DX39" i="2"/>
  <c r="DW39" i="2"/>
  <c r="DV39" i="2"/>
  <c r="DU39" i="2"/>
  <c r="DT39" i="2"/>
  <c r="DS39" i="2"/>
  <c r="DR39" i="2"/>
  <c r="DQ39" i="2"/>
  <c r="DP39" i="2"/>
  <c r="DJ39" i="2"/>
  <c r="DH39" i="2"/>
  <c r="DG39" i="2"/>
  <c r="DF39" i="2"/>
  <c r="DD39" i="2"/>
  <c r="DC39" i="2"/>
  <c r="DB39" i="2"/>
  <c r="DA39" i="2"/>
  <c r="CZ39" i="2"/>
  <c r="CY39" i="2"/>
  <c r="CX39" i="2"/>
  <c r="CW39" i="2"/>
  <c r="CV39" i="2"/>
  <c r="FJ39" i="2" s="1"/>
  <c r="FN39" i="2" s="1"/>
  <c r="CT39" i="2"/>
  <c r="CS39" i="2"/>
  <c r="CR39" i="2"/>
  <c r="EW39" i="2" s="1"/>
  <c r="CC39" i="2"/>
  <c r="BZ39" i="2"/>
  <c r="BY39" i="2"/>
  <c r="DK39" i="2" s="1"/>
  <c r="BU39" i="2"/>
  <c r="BT39" i="2"/>
  <c r="CA39" i="2" s="1"/>
  <c r="BJ39" i="2"/>
  <c r="BH39" i="2"/>
  <c r="BG39" i="2"/>
  <c r="DL39" i="2" s="1"/>
  <c r="BF39" i="2"/>
  <c r="I39" i="2"/>
  <c r="H39" i="2"/>
  <c r="G39" i="2"/>
  <c r="F39" i="2"/>
  <c r="E39" i="2"/>
  <c r="D39" i="2"/>
  <c r="C39" i="2"/>
  <c r="FF38" i="2"/>
  <c r="FB38" i="2"/>
  <c r="EW38" i="2"/>
  <c r="EV38" i="2"/>
  <c r="ET38" i="2"/>
  <c r="ES38" i="2"/>
  <c r="ER38" i="2"/>
  <c r="EQ38" i="2"/>
  <c r="EP38" i="2"/>
  <c r="EO38" i="2"/>
  <c r="EN38" i="2"/>
  <c r="EM38" i="2"/>
  <c r="EL38" i="2"/>
  <c r="EK38" i="2"/>
  <c r="EJ38" i="2"/>
  <c r="EI38" i="2"/>
  <c r="EC38" i="2"/>
  <c r="EA38" i="2"/>
  <c r="DZ38" i="2"/>
  <c r="DY38" i="2"/>
  <c r="DX38" i="2"/>
  <c r="DW38" i="2"/>
  <c r="DV38" i="2"/>
  <c r="DT38" i="2"/>
  <c r="DS38" i="2"/>
  <c r="DR38" i="2"/>
  <c r="DQ38" i="2"/>
  <c r="DP38" i="2"/>
  <c r="DM38" i="2"/>
  <c r="DK38" i="2"/>
  <c r="DJ38" i="2"/>
  <c r="DH38" i="2"/>
  <c r="DG38" i="2"/>
  <c r="DF38" i="2"/>
  <c r="DE38" i="2"/>
  <c r="DD38" i="2"/>
  <c r="DC38" i="2"/>
  <c r="DA38" i="2"/>
  <c r="CZ38" i="2"/>
  <c r="CY38" i="2"/>
  <c r="CX38" i="2"/>
  <c r="CW38" i="2"/>
  <c r="CV38" i="2"/>
  <c r="CT38" i="2"/>
  <c r="CS38" i="2"/>
  <c r="EX38" i="2" s="1"/>
  <c r="CR38" i="2"/>
  <c r="ED38" i="2" s="1"/>
  <c r="CC38" i="2"/>
  <c r="FH38" i="2" s="1"/>
  <c r="CA38" i="2"/>
  <c r="BP38" i="2"/>
  <c r="BN38" i="2"/>
  <c r="BJ38" i="2"/>
  <c r="BH38" i="2"/>
  <c r="BG38" i="2"/>
  <c r="AW38" i="2"/>
  <c r="AU38" i="2"/>
  <c r="AQ38" i="2"/>
  <c r="FD38" i="2" s="1"/>
  <c r="FE38" i="2" s="1"/>
  <c r="AP38" i="2"/>
  <c r="AD38" i="2"/>
  <c r="Z38" i="2"/>
  <c r="Y38" i="2"/>
  <c r="O38" i="2"/>
  <c r="X38" i="2" s="1"/>
  <c r="FC38" i="2" s="1"/>
  <c r="M38" i="2"/>
  <c r="I38" i="2"/>
  <c r="H38" i="2"/>
  <c r="G38" i="2"/>
  <c r="F38" i="2"/>
  <c r="E38" i="2"/>
  <c r="D38" i="2"/>
  <c r="C38" i="2"/>
  <c r="FF37" i="2"/>
  <c r="FD37" i="2"/>
  <c r="FB37" i="2"/>
  <c r="FA37" i="2"/>
  <c r="EV37" i="2"/>
  <c r="ET37" i="2"/>
  <c r="ES37" i="2"/>
  <c r="ER37" i="2"/>
  <c r="EQ37" i="2"/>
  <c r="EP37" i="2"/>
  <c r="EO37" i="2"/>
  <c r="EN37" i="2"/>
  <c r="EM37" i="2"/>
  <c r="EL37" i="2"/>
  <c r="EK37" i="2"/>
  <c r="EJ37" i="2"/>
  <c r="EI37" i="2"/>
  <c r="EC37" i="2"/>
  <c r="EA37" i="2"/>
  <c r="DZ37" i="2"/>
  <c r="DY37" i="2"/>
  <c r="DX37" i="2"/>
  <c r="DW37" i="2"/>
  <c r="DV37" i="2"/>
  <c r="DU37" i="2"/>
  <c r="DT37" i="2"/>
  <c r="DS37" i="2"/>
  <c r="DR37" i="2"/>
  <c r="DQ37" i="2"/>
  <c r="DP37" i="2"/>
  <c r="DJ37" i="2"/>
  <c r="DH37" i="2"/>
  <c r="DG37" i="2"/>
  <c r="DF37" i="2"/>
  <c r="DD37" i="2"/>
  <c r="DC37" i="2"/>
  <c r="DB37" i="2"/>
  <c r="DA37" i="2"/>
  <c r="CZ37" i="2"/>
  <c r="CY37" i="2"/>
  <c r="CX37" i="2"/>
  <c r="CW37" i="2"/>
  <c r="CV37" i="2"/>
  <c r="FJ37" i="2" s="1"/>
  <c r="FN37" i="2" s="1"/>
  <c r="CT37" i="2"/>
  <c r="EY37" i="2" s="1"/>
  <c r="CS37" i="2"/>
  <c r="EE37" i="2" s="1"/>
  <c r="FM37" i="2" s="1"/>
  <c r="CR37" i="2"/>
  <c r="EW37" i="2" s="1"/>
  <c r="CC37" i="2"/>
  <c r="BZ37" i="2"/>
  <c r="BY37" i="2"/>
  <c r="BU37" i="2"/>
  <c r="BT37" i="2"/>
  <c r="CA37" i="2" s="1"/>
  <c r="BJ37" i="2"/>
  <c r="BH37" i="2"/>
  <c r="BG37" i="2"/>
  <c r="BF37" i="2"/>
  <c r="I37" i="2"/>
  <c r="H37" i="2"/>
  <c r="G37" i="2"/>
  <c r="F37" i="2"/>
  <c r="E37" i="2"/>
  <c r="D37" i="2"/>
  <c r="C37" i="2"/>
  <c r="FF36" i="2"/>
  <c r="FG36" i="2" s="1"/>
  <c r="FD36" i="2"/>
  <c r="FB36" i="2"/>
  <c r="EX36" i="2"/>
  <c r="EV36" i="2"/>
  <c r="ET36" i="2"/>
  <c r="ES36" i="2"/>
  <c r="ER36" i="2"/>
  <c r="EQ36" i="2"/>
  <c r="EP36" i="2"/>
  <c r="EO36" i="2"/>
  <c r="EN36" i="2"/>
  <c r="EM36" i="2"/>
  <c r="EL36" i="2"/>
  <c r="EK36" i="2"/>
  <c r="EJ36" i="2"/>
  <c r="EI36" i="2"/>
  <c r="EC36" i="2"/>
  <c r="EA36" i="2"/>
  <c r="DZ36" i="2"/>
  <c r="DY36" i="2"/>
  <c r="DW36" i="2"/>
  <c r="DV36" i="2"/>
  <c r="DU36" i="2"/>
  <c r="DT36" i="2"/>
  <c r="DS36" i="2"/>
  <c r="DR36" i="2"/>
  <c r="DQ36" i="2"/>
  <c r="DP36" i="2"/>
  <c r="DM36" i="2"/>
  <c r="DJ36" i="2"/>
  <c r="DH36" i="2"/>
  <c r="DG36" i="2"/>
  <c r="DF36" i="2"/>
  <c r="DD36" i="2"/>
  <c r="DC36" i="2"/>
  <c r="DB36" i="2"/>
  <c r="DA36" i="2"/>
  <c r="CZ36" i="2"/>
  <c r="CY36" i="2"/>
  <c r="CX36" i="2"/>
  <c r="CW36" i="2"/>
  <c r="CV36" i="2"/>
  <c r="CT36" i="2"/>
  <c r="EY36" i="2" s="1"/>
  <c r="CS36" i="2"/>
  <c r="CR36" i="2"/>
  <c r="EW36" i="2" s="1"/>
  <c r="CC36" i="2"/>
  <c r="CA36" i="2"/>
  <c r="EF36" i="2" s="1"/>
  <c r="BZ36" i="2"/>
  <c r="DL36" i="2" s="1"/>
  <c r="BY36" i="2"/>
  <c r="BU36" i="2"/>
  <c r="BT36" i="2"/>
  <c r="BJ36" i="2"/>
  <c r="BH36" i="2"/>
  <c r="BG36" i="2"/>
  <c r="BF36" i="2"/>
  <c r="I36" i="2"/>
  <c r="H36" i="2"/>
  <c r="G36" i="2"/>
  <c r="F36" i="2"/>
  <c r="E36" i="2"/>
  <c r="D36" i="2"/>
  <c r="C36" i="2"/>
  <c r="FD35" i="2"/>
  <c r="FB35" i="2"/>
  <c r="EX35" i="2"/>
  <c r="EV35" i="2"/>
  <c r="ES35" i="2"/>
  <c r="ER35" i="2"/>
  <c r="EQ35" i="2"/>
  <c r="EP35" i="2"/>
  <c r="EO35" i="2"/>
  <c r="EN35" i="2"/>
  <c r="EM35" i="2"/>
  <c r="EK35" i="2"/>
  <c r="EJ35" i="2"/>
  <c r="EI35" i="2"/>
  <c r="EF35" i="2"/>
  <c r="EC35" i="2"/>
  <c r="DY35" i="2"/>
  <c r="DU35" i="2"/>
  <c r="DT35" i="2"/>
  <c r="DQ35" i="2"/>
  <c r="DP35" i="2"/>
  <c r="DJ35" i="2"/>
  <c r="DG35" i="2"/>
  <c r="DE35" i="2"/>
  <c r="DD35" i="2"/>
  <c r="DA35" i="2"/>
  <c r="CY35" i="2"/>
  <c r="CX35" i="2"/>
  <c r="CV35" i="2"/>
  <c r="CT35" i="2"/>
  <c r="EY35" i="2" s="1"/>
  <c r="CS35" i="2"/>
  <c r="CR35" i="2"/>
  <c r="EW35" i="2" s="1"/>
  <c r="CC35" i="2"/>
  <c r="CA35" i="2"/>
  <c r="BY35" i="2"/>
  <c r="BX35" i="2"/>
  <c r="BV35" i="2"/>
  <c r="DZ35" i="2" s="1"/>
  <c r="BU35" i="2"/>
  <c r="DF35" i="2" s="1"/>
  <c r="BT35" i="2"/>
  <c r="DX35" i="2" s="1"/>
  <c r="BR35" i="2"/>
  <c r="DW35" i="2" s="1"/>
  <c r="BQ35" i="2"/>
  <c r="BP35" i="2"/>
  <c r="DB35" i="2" s="1"/>
  <c r="BO35" i="2"/>
  <c r="BM35" i="2"/>
  <c r="DR35" i="2" s="1"/>
  <c r="BL35" i="2"/>
  <c r="BK35" i="2"/>
  <c r="CW35" i="2" s="1"/>
  <c r="BH35" i="2"/>
  <c r="BC35" i="2" s="1"/>
  <c r="BG35" i="2"/>
  <c r="AU35" i="2"/>
  <c r="EL35" i="2" s="1"/>
  <c r="I35" i="2"/>
  <c r="H35" i="2"/>
  <c r="G35" i="2"/>
  <c r="F35" i="2"/>
  <c r="E35" i="2"/>
  <c r="D35" i="2"/>
  <c r="C35" i="2"/>
  <c r="FD34" i="2"/>
  <c r="FB34" i="2"/>
  <c r="EW34" i="2"/>
  <c r="EV34" i="2"/>
  <c r="ES34" i="2"/>
  <c r="ER34" i="2"/>
  <c r="EQ34" i="2"/>
  <c r="EP34" i="2"/>
  <c r="EO34" i="2"/>
  <c r="EN34" i="2"/>
  <c r="EM34" i="2"/>
  <c r="EL34" i="2"/>
  <c r="EK34" i="2"/>
  <c r="EJ34" i="2"/>
  <c r="EI34" i="2"/>
  <c r="EC34" i="2"/>
  <c r="DX34" i="2"/>
  <c r="DV34" i="2"/>
  <c r="DU34" i="2"/>
  <c r="DT34" i="2"/>
  <c r="DS34" i="2"/>
  <c r="DR34" i="2"/>
  <c r="DQ34" i="2"/>
  <c r="DP34" i="2"/>
  <c r="DM34" i="2"/>
  <c r="DL34" i="2"/>
  <c r="DH34" i="2"/>
  <c r="DC34" i="2"/>
  <c r="DB34" i="2"/>
  <c r="DA34" i="2"/>
  <c r="CZ34" i="2"/>
  <c r="CY34" i="2"/>
  <c r="CX34" i="2"/>
  <c r="CW34" i="2"/>
  <c r="CS34" i="2"/>
  <c r="EX34" i="2" s="1"/>
  <c r="CR34" i="2"/>
  <c r="BY34" i="2" s="1"/>
  <c r="CO34" i="2"/>
  <c r="CV34" i="2" s="1"/>
  <c r="CA34" i="2"/>
  <c r="BZ34" i="2"/>
  <c r="BX34" i="2"/>
  <c r="DJ34" i="2" s="1"/>
  <c r="BW34" i="2"/>
  <c r="BV34" i="2"/>
  <c r="DG34" i="2" s="1"/>
  <c r="BU34" i="2"/>
  <c r="DF34" i="2" s="1"/>
  <c r="BT34" i="2"/>
  <c r="DE34" i="2" s="1"/>
  <c r="BB34" i="2"/>
  <c r="BC34" i="2" s="1"/>
  <c r="BJ34" i="2" s="1"/>
  <c r="FF34" i="2" s="1"/>
  <c r="FG34" i="2" s="1"/>
  <c r="AY34" i="2"/>
  <c r="I34" i="2"/>
  <c r="H34" i="2"/>
  <c r="G34" i="2"/>
  <c r="F34" i="2"/>
  <c r="E34" i="2"/>
  <c r="D34" i="2"/>
  <c r="C34" i="2"/>
  <c r="FD33" i="2"/>
  <c r="FB33" i="2"/>
  <c r="FA33" i="2"/>
  <c r="EW33" i="2"/>
  <c r="EV33" i="2"/>
  <c r="ET33" i="2"/>
  <c r="ES33" i="2"/>
  <c r="ER33" i="2"/>
  <c r="EQ33" i="2"/>
  <c r="EP33" i="2"/>
  <c r="EO33" i="2"/>
  <c r="EN33" i="2"/>
  <c r="EM33" i="2"/>
  <c r="EL33" i="2"/>
  <c r="EK33" i="2"/>
  <c r="EJ33" i="2"/>
  <c r="EI33" i="2"/>
  <c r="EC33" i="2"/>
  <c r="EA33" i="2"/>
  <c r="DZ33" i="2"/>
  <c r="DY33" i="2"/>
  <c r="DX33" i="2"/>
  <c r="DW33" i="2"/>
  <c r="DV33" i="2"/>
  <c r="DU33" i="2"/>
  <c r="DT33" i="2"/>
  <c r="DS33" i="2"/>
  <c r="DR33" i="2"/>
  <c r="DQ33" i="2"/>
  <c r="DP33" i="2"/>
  <c r="DJ33" i="2"/>
  <c r="DH33" i="2"/>
  <c r="DG33" i="2"/>
  <c r="DF33" i="2"/>
  <c r="DE33" i="2"/>
  <c r="DD33" i="2"/>
  <c r="DC33" i="2"/>
  <c r="DB33" i="2"/>
  <c r="DA33" i="2"/>
  <c r="CZ33" i="2"/>
  <c r="CY33" i="2"/>
  <c r="CX33" i="2"/>
  <c r="CW33" i="2"/>
  <c r="CV33" i="2"/>
  <c r="FJ33" i="2" s="1"/>
  <c r="FN33" i="2" s="1"/>
  <c r="CT33" i="2"/>
  <c r="EY33" i="2" s="1"/>
  <c r="CS33" i="2"/>
  <c r="EX33" i="2" s="1"/>
  <c r="CR33" i="2"/>
  <c r="CC33" i="2"/>
  <c r="CA33" i="2"/>
  <c r="BZ33" i="2"/>
  <c r="DL33" i="2" s="1"/>
  <c r="BY33" i="2"/>
  <c r="BU33" i="2"/>
  <c r="BT33" i="2"/>
  <c r="BJ33" i="2"/>
  <c r="FF33" i="2" s="1"/>
  <c r="FG33" i="2" s="1"/>
  <c r="BH33" i="2"/>
  <c r="BG33" i="2"/>
  <c r="BF33" i="2"/>
  <c r="I33" i="2"/>
  <c r="H33" i="2"/>
  <c r="G33" i="2"/>
  <c r="F33" i="2"/>
  <c r="E33" i="2"/>
  <c r="D33" i="2"/>
  <c r="C33" i="2"/>
  <c r="FJ32" i="2"/>
  <c r="FF32" i="2"/>
  <c r="FG32" i="2" s="1"/>
  <c r="FB32" i="2"/>
  <c r="EW32" i="2"/>
  <c r="EV32" i="2"/>
  <c r="ET32" i="2"/>
  <c r="ES32" i="2"/>
  <c r="ER32" i="2"/>
  <c r="EQ32" i="2"/>
  <c r="EP32" i="2"/>
  <c r="EO32" i="2"/>
  <c r="EN32" i="2"/>
  <c r="EM32" i="2"/>
  <c r="EL32" i="2"/>
  <c r="EK32" i="2"/>
  <c r="EJ32" i="2"/>
  <c r="EI32" i="2"/>
  <c r="EC32" i="2"/>
  <c r="DX32" i="2"/>
  <c r="DW32" i="2"/>
  <c r="DT32" i="2"/>
  <c r="DS32" i="2"/>
  <c r="DR32" i="2"/>
  <c r="DP32" i="2"/>
  <c r="DD32" i="2"/>
  <c r="DB32" i="2"/>
  <c r="DA32" i="2"/>
  <c r="CZ32" i="2"/>
  <c r="CY32" i="2"/>
  <c r="CW32" i="2"/>
  <c r="CV32" i="2"/>
  <c r="FA32" i="2" s="1"/>
  <c r="CT32" i="2"/>
  <c r="CS32" i="2"/>
  <c r="EX32" i="2" s="1"/>
  <c r="CR32" i="2"/>
  <c r="BZ32" i="2"/>
  <c r="BY32" i="2"/>
  <c r="BX32" i="2"/>
  <c r="DJ32" i="2" s="1"/>
  <c r="BW32" i="2"/>
  <c r="BV32" i="2"/>
  <c r="BU32" i="2"/>
  <c r="BT32" i="2"/>
  <c r="DE32" i="2" s="1"/>
  <c r="BR32" i="2"/>
  <c r="BQ32" i="2"/>
  <c r="BP32" i="2"/>
  <c r="DU32" i="2" s="1"/>
  <c r="BO32" i="2"/>
  <c r="BN32" i="2"/>
  <c r="BM32" i="2"/>
  <c r="BL32" i="2"/>
  <c r="BK32" i="2"/>
  <c r="BJ32" i="2"/>
  <c r="BH32" i="2"/>
  <c r="BG32" i="2"/>
  <c r="AQ32" i="2"/>
  <c r="FD32" i="2" s="1"/>
  <c r="FE32" i="2" s="1"/>
  <c r="AP32" i="2"/>
  <c r="AO32" i="2"/>
  <c r="I32" i="2"/>
  <c r="H32" i="2"/>
  <c r="G32" i="2"/>
  <c r="F32" i="2"/>
  <c r="E32" i="2"/>
  <c r="D32" i="2"/>
  <c r="C32" i="2"/>
  <c r="FD31" i="2"/>
  <c r="FB31" i="2"/>
  <c r="EW31" i="2"/>
  <c r="EV31" i="2"/>
  <c r="ER31" i="2"/>
  <c r="EQ31" i="2"/>
  <c r="EP31" i="2"/>
  <c r="EO31" i="2"/>
  <c r="EN31" i="2"/>
  <c r="EM31" i="2"/>
  <c r="EL31" i="2"/>
  <c r="EK31" i="2"/>
  <c r="EJ31" i="2"/>
  <c r="EI31" i="2"/>
  <c r="EC31" i="2"/>
  <c r="EA31" i="2"/>
  <c r="DY31" i="2"/>
  <c r="DX31" i="2"/>
  <c r="DT31" i="2"/>
  <c r="DS31" i="2"/>
  <c r="DR31" i="2"/>
  <c r="DQ31" i="2"/>
  <c r="DP31" i="2"/>
  <c r="DM31" i="2"/>
  <c r="DC31" i="2"/>
  <c r="DB31" i="2"/>
  <c r="CZ31" i="2"/>
  <c r="CY31" i="2"/>
  <c r="CX31" i="2"/>
  <c r="CW31" i="2"/>
  <c r="CV31" i="2"/>
  <c r="FJ31" i="2" s="1"/>
  <c r="CT31" i="2"/>
  <c r="EY31" i="2" s="1"/>
  <c r="CS31" i="2"/>
  <c r="EX31" i="2" s="1"/>
  <c r="CR31" i="2"/>
  <c r="BY31" i="2" s="1"/>
  <c r="CO31" i="2"/>
  <c r="CA31" i="2"/>
  <c r="BZ31" i="2"/>
  <c r="DL31" i="2" s="1"/>
  <c r="BX31" i="2"/>
  <c r="DJ31" i="2" s="1"/>
  <c r="BW31" i="2"/>
  <c r="BV31" i="2"/>
  <c r="DZ31" i="2" s="1"/>
  <c r="BU31" i="2"/>
  <c r="DF31" i="2" s="1"/>
  <c r="BT31" i="2"/>
  <c r="CC31" i="2" s="1"/>
  <c r="BQ31" i="2"/>
  <c r="DV31" i="2" s="1"/>
  <c r="BP31" i="2"/>
  <c r="BO31" i="2"/>
  <c r="DA31" i="2" s="1"/>
  <c r="BB31" i="2"/>
  <c r="AY31" i="2"/>
  <c r="I31" i="2"/>
  <c r="H31" i="2"/>
  <c r="G31" i="2"/>
  <c r="F31" i="2"/>
  <c r="E31" i="2"/>
  <c r="D31" i="2"/>
  <c r="C31" i="2"/>
  <c r="FF30" i="2"/>
  <c r="FG30" i="2" s="1"/>
  <c r="FD30" i="2"/>
  <c r="FB30" i="2"/>
  <c r="EW30" i="2"/>
  <c r="EV30" i="2"/>
  <c r="ET30" i="2"/>
  <c r="ES30" i="2"/>
  <c r="ER30" i="2"/>
  <c r="EP30" i="2"/>
  <c r="EO30" i="2"/>
  <c r="EN30" i="2"/>
  <c r="EM30" i="2"/>
  <c r="EK30" i="2"/>
  <c r="EJ30" i="2"/>
  <c r="EI30" i="2"/>
  <c r="EC30" i="2"/>
  <c r="EA30" i="2"/>
  <c r="DZ30" i="2"/>
  <c r="DY30" i="2"/>
  <c r="DX30" i="2"/>
  <c r="DW30" i="2"/>
  <c r="DU30" i="2"/>
  <c r="DT30" i="2"/>
  <c r="DR30" i="2"/>
  <c r="DQ30" i="2"/>
  <c r="DP30" i="2"/>
  <c r="DJ30" i="2"/>
  <c r="DH30" i="2"/>
  <c r="DG30" i="2"/>
  <c r="DF30" i="2"/>
  <c r="DE30" i="2"/>
  <c r="DD30" i="2"/>
  <c r="DA30" i="2"/>
  <c r="CY30" i="2"/>
  <c r="CX30" i="2"/>
  <c r="CW30" i="2"/>
  <c r="CV30" i="2"/>
  <c r="CS30" i="2"/>
  <c r="EX30" i="2" s="1"/>
  <c r="CR30" i="2"/>
  <c r="CO30" i="2"/>
  <c r="CN30" i="2"/>
  <c r="CM30" i="2"/>
  <c r="CL30" i="2"/>
  <c r="EQ30" i="2" s="1"/>
  <c r="CC30" i="2"/>
  <c r="CA30" i="2"/>
  <c r="BY30" i="2"/>
  <c r="BQ30" i="2"/>
  <c r="BP30" i="2"/>
  <c r="DB30" i="2" s="1"/>
  <c r="BO30" i="2"/>
  <c r="BN30" i="2"/>
  <c r="BJ30" i="2"/>
  <c r="BH30" i="2"/>
  <c r="DM30" i="2" s="1"/>
  <c r="BG30" i="2"/>
  <c r="AU30" i="2"/>
  <c r="EL30" i="2" s="1"/>
  <c r="I30" i="2"/>
  <c r="H30" i="2"/>
  <c r="G30" i="2"/>
  <c r="F30" i="2"/>
  <c r="E30" i="2"/>
  <c r="D30" i="2"/>
  <c r="C30" i="2"/>
  <c r="FH29" i="2"/>
  <c r="FF29" i="2"/>
  <c r="FD29" i="2"/>
  <c r="FE29" i="2" s="1"/>
  <c r="EY29" i="2"/>
  <c r="EW29" i="2"/>
  <c r="EV29" i="2"/>
  <c r="ET29" i="2"/>
  <c r="ES29" i="2"/>
  <c r="ER29" i="2"/>
  <c r="EQ29" i="2"/>
  <c r="EP29" i="2"/>
  <c r="EO29" i="2"/>
  <c r="EM29" i="2"/>
  <c r="EK29" i="2"/>
  <c r="EJ29" i="2"/>
  <c r="EI29" i="2"/>
  <c r="EE29" i="2"/>
  <c r="FM29" i="2" s="1"/>
  <c r="ED29" i="2"/>
  <c r="EC29" i="2"/>
  <c r="EA29" i="2"/>
  <c r="DZ29" i="2"/>
  <c r="DY29" i="2"/>
  <c r="DX29" i="2"/>
  <c r="DW29" i="2"/>
  <c r="DV29" i="2"/>
  <c r="DU29" i="2"/>
  <c r="DT29" i="2"/>
  <c r="DR29" i="2"/>
  <c r="DQ29" i="2"/>
  <c r="DP29" i="2"/>
  <c r="DK29" i="2"/>
  <c r="DJ29" i="2"/>
  <c r="DH29" i="2"/>
  <c r="DG29" i="2"/>
  <c r="DF29" i="2"/>
  <c r="DE29" i="2"/>
  <c r="DD29" i="2"/>
  <c r="DC29" i="2"/>
  <c r="DB29" i="2"/>
  <c r="DA29" i="2"/>
  <c r="CZ29" i="2"/>
  <c r="CY29" i="2"/>
  <c r="CX29" i="2"/>
  <c r="CW29" i="2"/>
  <c r="CV29" i="2"/>
  <c r="CT29" i="2"/>
  <c r="CS29" i="2"/>
  <c r="CR29" i="2"/>
  <c r="CC29" i="2"/>
  <c r="CA29" i="2"/>
  <c r="BP29" i="2"/>
  <c r="BZ29" i="2" s="1"/>
  <c r="BN29" i="2"/>
  <c r="DS29" i="2" s="1"/>
  <c r="BJ29" i="2"/>
  <c r="DO29" i="2" s="1"/>
  <c r="BH29" i="2"/>
  <c r="BF29" i="2"/>
  <c r="AW29" i="2"/>
  <c r="AU29" i="2"/>
  <c r="EL29" i="2" s="1"/>
  <c r="AQ29" i="2"/>
  <c r="AP29" i="2"/>
  <c r="AD29" i="2"/>
  <c r="Z29" i="2"/>
  <c r="FB29" i="2" s="1"/>
  <c r="Y29" i="2"/>
  <c r="O29" i="2"/>
  <c r="X29" i="2" s="1"/>
  <c r="M29" i="2"/>
  <c r="I29" i="2"/>
  <c r="H29" i="2"/>
  <c r="G29" i="2"/>
  <c r="F29" i="2"/>
  <c r="E29" i="2"/>
  <c r="D29" i="2"/>
  <c r="C29" i="2"/>
  <c r="FJ28" i="2"/>
  <c r="FN28" i="2" s="1"/>
  <c r="FG28" i="2"/>
  <c r="FF28" i="2"/>
  <c r="FD28" i="2"/>
  <c r="FE28" i="2" s="1"/>
  <c r="FC28" i="2"/>
  <c r="FA28" i="2"/>
  <c r="EY28" i="2"/>
  <c r="EV28" i="2"/>
  <c r="ET28" i="2"/>
  <c r="ES28" i="2"/>
  <c r="ER28" i="2"/>
  <c r="EQ28" i="2"/>
  <c r="EP28" i="2"/>
  <c r="EO28" i="2"/>
  <c r="EN28" i="2"/>
  <c r="EM28" i="2"/>
  <c r="EL28" i="2"/>
  <c r="EK28" i="2"/>
  <c r="EJ28" i="2"/>
  <c r="EI28" i="2"/>
  <c r="EF28" i="2"/>
  <c r="ED28" i="2"/>
  <c r="FM28" i="2" s="1"/>
  <c r="EC28" i="2"/>
  <c r="EA28" i="2"/>
  <c r="DZ28" i="2"/>
  <c r="DY28" i="2"/>
  <c r="DX28" i="2"/>
  <c r="DW28" i="2"/>
  <c r="DV28" i="2"/>
  <c r="DU28" i="2"/>
  <c r="DT28" i="2"/>
  <c r="DS28" i="2"/>
  <c r="DR28" i="2"/>
  <c r="DQ28" i="2"/>
  <c r="DP28" i="2"/>
  <c r="DM28" i="2"/>
  <c r="DL28" i="2"/>
  <c r="DJ28" i="2"/>
  <c r="DH28" i="2"/>
  <c r="DG28" i="2"/>
  <c r="DF28" i="2"/>
  <c r="DE28" i="2"/>
  <c r="DD28" i="2"/>
  <c r="DC28" i="2"/>
  <c r="DB28" i="2"/>
  <c r="DA28" i="2"/>
  <c r="CZ28" i="2"/>
  <c r="CY28" i="2"/>
  <c r="CX28" i="2"/>
  <c r="CW28" i="2"/>
  <c r="CV28" i="2"/>
  <c r="CT28" i="2"/>
  <c r="CS28" i="2"/>
  <c r="CR28" i="2"/>
  <c r="EW28" i="2" s="1"/>
  <c r="CC28" i="2"/>
  <c r="CA28" i="2"/>
  <c r="BY28" i="2"/>
  <c r="DK28" i="2" s="1"/>
  <c r="BJ28" i="2"/>
  <c r="BH28" i="2"/>
  <c r="AQ28" i="2"/>
  <c r="AP28" i="2"/>
  <c r="Z28" i="2"/>
  <c r="FB28" i="2" s="1"/>
  <c r="Y28" i="2"/>
  <c r="I28" i="2"/>
  <c r="H28" i="2"/>
  <c r="G28" i="2"/>
  <c r="F28" i="2"/>
  <c r="E28" i="2"/>
  <c r="D28" i="2"/>
  <c r="C28" i="2"/>
  <c r="FJ27" i="2"/>
  <c r="FH27" i="2"/>
  <c r="FF27" i="2"/>
  <c r="FG27" i="2" s="1"/>
  <c r="FD27" i="2"/>
  <c r="FE27" i="2" s="1"/>
  <c r="EV27" i="2"/>
  <c r="ET27" i="2"/>
  <c r="ES27" i="2"/>
  <c r="ER27" i="2"/>
  <c r="EQ27" i="2"/>
  <c r="EP27" i="2"/>
  <c r="EO27" i="2"/>
  <c r="EM27" i="2"/>
  <c r="EK27" i="2"/>
  <c r="EJ27" i="2"/>
  <c r="EI27" i="2"/>
  <c r="EH27" i="2"/>
  <c r="EF27" i="2"/>
  <c r="ED27" i="2"/>
  <c r="EC27" i="2"/>
  <c r="EA27" i="2"/>
  <c r="DZ27" i="2"/>
  <c r="DY27" i="2"/>
  <c r="DX27" i="2"/>
  <c r="DW27" i="2"/>
  <c r="DV27" i="2"/>
  <c r="DT27" i="2"/>
  <c r="DR27" i="2"/>
  <c r="DQ27" i="2"/>
  <c r="DP27" i="2"/>
  <c r="DK27" i="2"/>
  <c r="DJ27" i="2"/>
  <c r="DH27" i="2"/>
  <c r="DG27" i="2"/>
  <c r="DF27" i="2"/>
  <c r="DE27" i="2"/>
  <c r="DD27" i="2"/>
  <c r="DC27" i="2"/>
  <c r="DA27" i="2"/>
  <c r="CY27" i="2"/>
  <c r="CX27" i="2"/>
  <c r="CW27" i="2"/>
  <c r="CV27" i="2"/>
  <c r="FA27" i="2" s="1"/>
  <c r="CT27" i="2"/>
  <c r="CS27" i="2"/>
  <c r="CR27" i="2"/>
  <c r="EW27" i="2" s="1"/>
  <c r="CC27" i="2"/>
  <c r="DO27" i="2" s="1"/>
  <c r="CA27" i="2"/>
  <c r="BZ27" i="2"/>
  <c r="BP27" i="2"/>
  <c r="DU27" i="2" s="1"/>
  <c r="BN27" i="2"/>
  <c r="BJ27" i="2"/>
  <c r="BH27" i="2"/>
  <c r="BG27" i="2"/>
  <c r="EX27" i="2" s="1"/>
  <c r="AW27" i="2"/>
  <c r="EN27" i="2" s="1"/>
  <c r="AU27" i="2"/>
  <c r="EL27" i="2" s="1"/>
  <c r="AQ27" i="2"/>
  <c r="AP27" i="2"/>
  <c r="AD27" i="2"/>
  <c r="Z27" i="2"/>
  <c r="FB27" i="2" s="1"/>
  <c r="Y27" i="2"/>
  <c r="O27" i="2"/>
  <c r="X27" i="2" s="1"/>
  <c r="M27" i="2"/>
  <c r="I27" i="2"/>
  <c r="H27" i="2"/>
  <c r="G27" i="2"/>
  <c r="F27" i="2"/>
  <c r="E27" i="2"/>
  <c r="D27" i="2"/>
  <c r="C27" i="2"/>
  <c r="FJ26" i="2"/>
  <c r="FH26" i="2"/>
  <c r="EV26" i="2"/>
  <c r="ET26" i="2"/>
  <c r="ES26" i="2"/>
  <c r="ER26" i="2"/>
  <c r="EQ26" i="2"/>
  <c r="EP26" i="2"/>
  <c r="EO26" i="2"/>
  <c r="EM26" i="2"/>
  <c r="EL26" i="2"/>
  <c r="EK26" i="2"/>
  <c r="EJ26" i="2"/>
  <c r="EI26" i="2"/>
  <c r="EH26" i="2"/>
  <c r="EF26" i="2"/>
  <c r="EC26" i="2"/>
  <c r="EA26" i="2"/>
  <c r="DZ26" i="2"/>
  <c r="DY26" i="2"/>
  <c r="DX26" i="2"/>
  <c r="DW26" i="2"/>
  <c r="DV26" i="2"/>
  <c r="DT26" i="2"/>
  <c r="DR26" i="2"/>
  <c r="DQ26" i="2"/>
  <c r="DP26" i="2"/>
  <c r="DK26" i="2"/>
  <c r="DJ26" i="2"/>
  <c r="DH26" i="2"/>
  <c r="DG26" i="2"/>
  <c r="DF26" i="2"/>
  <c r="DE26" i="2"/>
  <c r="DD26" i="2"/>
  <c r="DC26" i="2"/>
  <c r="DA26" i="2"/>
  <c r="CY26" i="2"/>
  <c r="CX26" i="2"/>
  <c r="CW26" i="2"/>
  <c r="CV26" i="2"/>
  <c r="CT26" i="2"/>
  <c r="CS26" i="2"/>
  <c r="CR26" i="2"/>
  <c r="ED26" i="2" s="1"/>
  <c r="CC26" i="2"/>
  <c r="CA26" i="2"/>
  <c r="BP26" i="2"/>
  <c r="BN26" i="2"/>
  <c r="BJ26" i="2"/>
  <c r="DO26" i="2" s="1"/>
  <c r="BH26" i="2"/>
  <c r="DM26" i="2" s="1"/>
  <c r="BG26" i="2"/>
  <c r="AW26" i="2"/>
  <c r="EN26" i="2" s="1"/>
  <c r="AU26" i="2"/>
  <c r="AQ26" i="2"/>
  <c r="FD26" i="2" s="1"/>
  <c r="FE26" i="2" s="1"/>
  <c r="AP26" i="2"/>
  <c r="AD26" i="2"/>
  <c r="Z26" i="2"/>
  <c r="FB26" i="2" s="1"/>
  <c r="FC26" i="2" s="1"/>
  <c r="Y26" i="2"/>
  <c r="O26" i="2"/>
  <c r="X26" i="2" s="1"/>
  <c r="M26" i="2"/>
  <c r="I26" i="2"/>
  <c r="H26" i="2"/>
  <c r="G26" i="2"/>
  <c r="F26" i="2"/>
  <c r="E26" i="2"/>
  <c r="D26" i="2"/>
  <c r="C26" i="2"/>
  <c r="FM25" i="2"/>
  <c r="FL25" i="2"/>
  <c r="FJ25" i="2"/>
  <c r="FN25" i="2" s="1"/>
  <c r="FI25" i="2"/>
  <c r="FF25" i="2"/>
  <c r="FK25" i="2" s="1"/>
  <c r="FD25" i="2"/>
  <c r="FE25" i="2" s="1"/>
  <c r="FB25" i="2"/>
  <c r="FA25" i="2"/>
  <c r="EW25" i="2"/>
  <c r="EV25" i="2"/>
  <c r="ET25" i="2"/>
  <c r="ES25" i="2"/>
  <c r="ER25" i="2"/>
  <c r="EQ25" i="2"/>
  <c r="EP25" i="2"/>
  <c r="EO25" i="2"/>
  <c r="EM25" i="2"/>
  <c r="EK25" i="2"/>
  <c r="EJ25" i="2"/>
  <c r="EI25" i="2"/>
  <c r="EE25" i="2"/>
  <c r="ED25" i="2"/>
  <c r="EC25" i="2"/>
  <c r="EA25" i="2"/>
  <c r="DZ25" i="2"/>
  <c r="DY25" i="2"/>
  <c r="DX25" i="2"/>
  <c r="DW25" i="2"/>
  <c r="DV25" i="2"/>
  <c r="DT25" i="2"/>
  <c r="DS25" i="2"/>
  <c r="DR25" i="2"/>
  <c r="DQ25" i="2"/>
  <c r="DP25" i="2"/>
  <c r="DK25" i="2"/>
  <c r="DJ25" i="2"/>
  <c r="DH25" i="2"/>
  <c r="DG25" i="2"/>
  <c r="DF25" i="2"/>
  <c r="DE25" i="2"/>
  <c r="DD25" i="2"/>
  <c r="DC25" i="2"/>
  <c r="DA25" i="2"/>
  <c r="CZ25" i="2"/>
  <c r="CY25" i="2"/>
  <c r="CX25" i="2"/>
  <c r="CW25" i="2"/>
  <c r="CV25" i="2"/>
  <c r="EH25" i="2" s="1"/>
  <c r="CT25" i="2"/>
  <c r="CS25" i="2"/>
  <c r="CR25" i="2"/>
  <c r="CC25" i="2"/>
  <c r="FH25" i="2" s="1"/>
  <c r="CA25" i="2"/>
  <c r="EF25" i="2" s="1"/>
  <c r="BZ25" i="2"/>
  <c r="BP25" i="2"/>
  <c r="BN25" i="2"/>
  <c r="BJ25" i="2"/>
  <c r="DO25" i="2" s="1"/>
  <c r="BH25" i="2"/>
  <c r="AW25" i="2"/>
  <c r="AU25" i="2"/>
  <c r="EL25" i="2" s="1"/>
  <c r="AQ25" i="2"/>
  <c r="AP25" i="2"/>
  <c r="AD25" i="2"/>
  <c r="Z25" i="2"/>
  <c r="Y25" i="2"/>
  <c r="O25" i="2"/>
  <c r="X25" i="2" s="1"/>
  <c r="M25" i="2"/>
  <c r="I25" i="2"/>
  <c r="H25" i="2"/>
  <c r="G25" i="2"/>
  <c r="F25" i="2"/>
  <c r="E25" i="2"/>
  <c r="D25" i="2"/>
  <c r="C25" i="2"/>
  <c r="FF24" i="2"/>
  <c r="FG24" i="2" s="1"/>
  <c r="FE24" i="2"/>
  <c r="FD24" i="2"/>
  <c r="FB24" i="2"/>
  <c r="FA24" i="2"/>
  <c r="EY24" i="2"/>
  <c r="EW24" i="2"/>
  <c r="EV24" i="2"/>
  <c r="ET24" i="2"/>
  <c r="ES24" i="2"/>
  <c r="ER24" i="2"/>
  <c r="EQ24" i="2"/>
  <c r="EP24" i="2"/>
  <c r="EO24" i="2"/>
  <c r="EN24" i="2"/>
  <c r="EM24" i="2"/>
  <c r="EL24" i="2"/>
  <c r="EK24" i="2"/>
  <c r="EJ24" i="2"/>
  <c r="EI24" i="2"/>
  <c r="EA24" i="2"/>
  <c r="DZ24" i="2"/>
  <c r="DX24" i="2"/>
  <c r="DW24" i="2"/>
  <c r="DV24" i="2"/>
  <c r="DU24" i="2"/>
  <c r="DT24" i="2"/>
  <c r="DS24" i="2"/>
  <c r="DR24" i="2"/>
  <c r="DQ24" i="2"/>
  <c r="DP24" i="2"/>
  <c r="DK24" i="2"/>
  <c r="DH24" i="2"/>
  <c r="DG24" i="2"/>
  <c r="DD24" i="2"/>
  <c r="DC24" i="2"/>
  <c r="DB24" i="2"/>
  <c r="CZ24" i="2"/>
  <c r="CY24" i="2"/>
  <c r="CX24" i="2"/>
  <c r="CW24" i="2"/>
  <c r="CV24" i="2"/>
  <c r="FJ24" i="2" s="1"/>
  <c r="FN24" i="2" s="1"/>
  <c r="CT24" i="2"/>
  <c r="CS24" i="2"/>
  <c r="EX24" i="2" s="1"/>
  <c r="CR24" i="2"/>
  <c r="CA24" i="2"/>
  <c r="BZ24" i="2"/>
  <c r="BY24" i="2"/>
  <c r="BX24" i="2"/>
  <c r="BW24" i="2"/>
  <c r="BV24" i="2"/>
  <c r="BU24" i="2"/>
  <c r="BT24" i="2"/>
  <c r="DE24" i="2" s="1"/>
  <c r="BR24" i="2"/>
  <c r="CC24" i="2" s="1"/>
  <c r="BQ24" i="2"/>
  <c r="BP24" i="2"/>
  <c r="BO24" i="2"/>
  <c r="DA24" i="2" s="1"/>
  <c r="BJ24" i="2"/>
  <c r="BH24" i="2"/>
  <c r="I24" i="2"/>
  <c r="H24" i="2"/>
  <c r="G24" i="2"/>
  <c r="F24" i="2"/>
  <c r="E24" i="2"/>
  <c r="D24" i="2"/>
  <c r="C24" i="2"/>
  <c r="FJ23" i="2"/>
  <c r="FN23" i="2" s="1"/>
  <c r="FD23" i="2"/>
  <c r="FB23" i="2"/>
  <c r="EX23" i="2"/>
  <c r="EW23" i="2"/>
  <c r="EV23" i="2"/>
  <c r="ET23" i="2"/>
  <c r="ES23" i="2"/>
  <c r="ER23" i="2"/>
  <c r="EQ23" i="2"/>
  <c r="EP23" i="2"/>
  <c r="EO23" i="2"/>
  <c r="EN23" i="2"/>
  <c r="EM23" i="2"/>
  <c r="EL23" i="2"/>
  <c r="EK23" i="2"/>
  <c r="EJ23" i="2"/>
  <c r="EI23" i="2"/>
  <c r="ED23" i="2"/>
  <c r="DY23" i="2"/>
  <c r="DX23" i="2"/>
  <c r="DU23" i="2"/>
  <c r="DT23" i="2"/>
  <c r="DP23" i="2"/>
  <c r="DK23" i="2"/>
  <c r="DJ23" i="2"/>
  <c r="DE23" i="2"/>
  <c r="DA23" i="2"/>
  <c r="CV23" i="2"/>
  <c r="FA23" i="2" s="1"/>
  <c r="CT23" i="2"/>
  <c r="EY23" i="2" s="1"/>
  <c r="CS23" i="2"/>
  <c r="CR23" i="2"/>
  <c r="BY23" i="2"/>
  <c r="BX23" i="2"/>
  <c r="EC23" i="2" s="1"/>
  <c r="BW23" i="2"/>
  <c r="BV23" i="2"/>
  <c r="BU23" i="2"/>
  <c r="DF23" i="2" s="1"/>
  <c r="BT23" i="2"/>
  <c r="BR23" i="2"/>
  <c r="BQ23" i="2"/>
  <c r="DC23" i="2" s="1"/>
  <c r="BP23" i="2"/>
  <c r="BO23" i="2"/>
  <c r="BN23" i="2"/>
  <c r="DS23" i="2" s="1"/>
  <c r="BM23" i="2"/>
  <c r="CY23" i="2" s="1"/>
  <c r="BL23" i="2"/>
  <c r="DQ23" i="2" s="1"/>
  <c r="BK23" i="2"/>
  <c r="CW23" i="2" s="1"/>
  <c r="BJ23" i="2"/>
  <c r="FF23" i="2" s="1"/>
  <c r="FG23" i="2" s="1"/>
  <c r="BH23" i="2"/>
  <c r="BG23" i="2"/>
  <c r="AQ23" i="2"/>
  <c r="AP23" i="2"/>
  <c r="AO23" i="2"/>
  <c r="I23" i="2"/>
  <c r="H23" i="2"/>
  <c r="G23" i="2"/>
  <c r="F23" i="2"/>
  <c r="E23" i="2"/>
  <c r="D23" i="2"/>
  <c r="C23" i="2"/>
  <c r="FH22" i="2"/>
  <c r="FI22" i="2" s="1"/>
  <c r="FF22" i="2"/>
  <c r="FG22" i="2" s="1"/>
  <c r="EW22" i="2"/>
  <c r="EV22" i="2"/>
  <c r="ET22" i="2"/>
  <c r="ES22" i="2"/>
  <c r="ER22" i="2"/>
  <c r="EQ22" i="2"/>
  <c r="EP22" i="2"/>
  <c r="EO22" i="2"/>
  <c r="EN22" i="2"/>
  <c r="EM22" i="2"/>
  <c r="EL22" i="2"/>
  <c r="EK22" i="2"/>
  <c r="EJ22" i="2"/>
  <c r="EI22" i="2"/>
  <c r="EH22" i="2"/>
  <c r="EE22" i="2"/>
  <c r="ED22" i="2"/>
  <c r="FM22" i="2" s="1"/>
  <c r="EC22" i="2"/>
  <c r="EA22" i="2"/>
  <c r="DZ22" i="2"/>
  <c r="DY22" i="2"/>
  <c r="DX22" i="2"/>
  <c r="DW22" i="2"/>
  <c r="DV22" i="2"/>
  <c r="DU22" i="2"/>
  <c r="DT22" i="2"/>
  <c r="DS22" i="2"/>
  <c r="DR22" i="2"/>
  <c r="DQ22" i="2"/>
  <c r="DP22" i="2"/>
  <c r="DL22" i="2"/>
  <c r="DJ22" i="2"/>
  <c r="DH22" i="2"/>
  <c r="DG22" i="2"/>
  <c r="DF22" i="2"/>
  <c r="DE22" i="2"/>
  <c r="DD22" i="2"/>
  <c r="DC22" i="2"/>
  <c r="DB22" i="2"/>
  <c r="DA22" i="2"/>
  <c r="CZ22" i="2"/>
  <c r="CY22" i="2"/>
  <c r="CX22" i="2"/>
  <c r="CW22" i="2"/>
  <c r="CV22" i="2"/>
  <c r="CT22" i="2"/>
  <c r="CS22" i="2"/>
  <c r="EX22" i="2" s="1"/>
  <c r="CR22" i="2"/>
  <c r="CC22" i="2"/>
  <c r="CA22" i="2"/>
  <c r="EF22" i="2" s="1"/>
  <c r="BY22" i="2"/>
  <c r="DK22" i="2" s="1"/>
  <c r="BJ22" i="2"/>
  <c r="DO22" i="2" s="1"/>
  <c r="BH22" i="2"/>
  <c r="AQ22" i="2"/>
  <c r="FD22" i="2" s="1"/>
  <c r="FE22" i="2" s="1"/>
  <c r="AP22" i="2"/>
  <c r="Z22" i="2"/>
  <c r="FB22" i="2" s="1"/>
  <c r="FC22" i="2" s="1"/>
  <c r="Y22" i="2"/>
  <c r="I22" i="2"/>
  <c r="H22" i="2"/>
  <c r="G22" i="2"/>
  <c r="F22" i="2"/>
  <c r="E22" i="2"/>
  <c r="D22" i="2"/>
  <c r="C22" i="2"/>
  <c r="FK21" i="2"/>
  <c r="FJ21" i="2"/>
  <c r="FN21" i="2" s="1"/>
  <c r="FF21" i="2"/>
  <c r="FB21" i="2"/>
  <c r="FC21" i="2" s="1"/>
  <c r="FA21" i="2"/>
  <c r="EX21" i="2"/>
  <c r="EW21" i="2"/>
  <c r="EV21" i="2"/>
  <c r="ET21" i="2"/>
  <c r="ES21" i="2"/>
  <c r="ER21" i="2"/>
  <c r="EQ21" i="2"/>
  <c r="EP21" i="2"/>
  <c r="EO21" i="2"/>
  <c r="EN21" i="2"/>
  <c r="EM21" i="2"/>
  <c r="EL21" i="2"/>
  <c r="EK21" i="2"/>
  <c r="EJ21" i="2"/>
  <c r="EI21" i="2"/>
  <c r="EH21" i="2"/>
  <c r="EC21" i="2"/>
  <c r="EA21" i="2"/>
  <c r="DZ21" i="2"/>
  <c r="DY21" i="2"/>
  <c r="DX21" i="2"/>
  <c r="DW21" i="2"/>
  <c r="DV21" i="2"/>
  <c r="DU21" i="2"/>
  <c r="DT21" i="2"/>
  <c r="DS21" i="2"/>
  <c r="DR21" i="2"/>
  <c r="DQ21" i="2"/>
  <c r="DP21" i="2"/>
  <c r="DO21" i="2"/>
  <c r="DK21" i="2"/>
  <c r="DJ21" i="2"/>
  <c r="DH21" i="2"/>
  <c r="DG21" i="2"/>
  <c r="DF21" i="2"/>
  <c r="DE21" i="2"/>
  <c r="DD21" i="2"/>
  <c r="DC21" i="2"/>
  <c r="DB21" i="2"/>
  <c r="DA21" i="2"/>
  <c r="CZ21" i="2"/>
  <c r="CY21" i="2"/>
  <c r="CX21" i="2"/>
  <c r="CW21" i="2"/>
  <c r="CV21" i="2"/>
  <c r="CT21" i="2"/>
  <c r="CS21" i="2"/>
  <c r="CR21" i="2"/>
  <c r="ED21" i="2" s="1"/>
  <c r="CC21" i="2"/>
  <c r="FH21" i="2" s="1"/>
  <c r="CA21" i="2"/>
  <c r="BP21" i="2"/>
  <c r="BZ21" i="2" s="1"/>
  <c r="BN21" i="2"/>
  <c r="BJ21" i="2"/>
  <c r="BH21" i="2"/>
  <c r="BG21" i="2"/>
  <c r="FG21" i="2" s="1"/>
  <c r="AW21" i="2"/>
  <c r="AU21" i="2"/>
  <c r="AQ21" i="2"/>
  <c r="FD21" i="2" s="1"/>
  <c r="FE21" i="2" s="1"/>
  <c r="AP21" i="2"/>
  <c r="AD21" i="2"/>
  <c r="Z21" i="2"/>
  <c r="Y21" i="2"/>
  <c r="X21" i="2"/>
  <c r="O21" i="2"/>
  <c r="M21" i="2"/>
  <c r="I21" i="2"/>
  <c r="H21" i="2"/>
  <c r="G21" i="2"/>
  <c r="F21" i="2"/>
  <c r="E21" i="2"/>
  <c r="D21" i="2"/>
  <c r="C21" i="2"/>
  <c r="FI20" i="2"/>
  <c r="FH20" i="2"/>
  <c r="FC20" i="2"/>
  <c r="FB20" i="2"/>
  <c r="FA20" i="2"/>
  <c r="EW20" i="2"/>
  <c r="EV20" i="2"/>
  <c r="ET20" i="2"/>
  <c r="ES20" i="2"/>
  <c r="ER20" i="2"/>
  <c r="EQ20" i="2"/>
  <c r="EP20" i="2"/>
  <c r="EO20" i="2"/>
  <c r="EM20" i="2"/>
  <c r="EK20" i="2"/>
  <c r="EJ20" i="2"/>
  <c r="EI20" i="2"/>
  <c r="EH20" i="2"/>
  <c r="ED20" i="2"/>
  <c r="EC20" i="2"/>
  <c r="EA20" i="2"/>
  <c r="DZ20" i="2"/>
  <c r="DY20" i="2"/>
  <c r="DX20" i="2"/>
  <c r="DW20" i="2"/>
  <c r="DV20" i="2"/>
  <c r="DU20" i="2"/>
  <c r="DT20" i="2"/>
  <c r="DS20" i="2"/>
  <c r="DR20" i="2"/>
  <c r="DQ20" i="2"/>
  <c r="DP20" i="2"/>
  <c r="DK20" i="2"/>
  <c r="DJ20" i="2"/>
  <c r="DH20" i="2"/>
  <c r="DG20" i="2"/>
  <c r="DF20" i="2"/>
  <c r="DE20" i="2"/>
  <c r="DD20" i="2"/>
  <c r="DC20" i="2"/>
  <c r="DB20" i="2"/>
  <c r="CZ20" i="2"/>
  <c r="CY20" i="2"/>
  <c r="CX20" i="2"/>
  <c r="CW20" i="2"/>
  <c r="CV20" i="2"/>
  <c r="FJ20" i="2" s="1"/>
  <c r="CT20" i="2"/>
  <c r="EY20" i="2" s="1"/>
  <c r="CS20" i="2"/>
  <c r="EX20" i="2" s="1"/>
  <c r="CR20" i="2"/>
  <c r="CC20" i="2"/>
  <c r="CA20" i="2"/>
  <c r="BP20" i="2"/>
  <c r="BZ20" i="2" s="1"/>
  <c r="BO20" i="2"/>
  <c r="DA20" i="2" s="1"/>
  <c r="BN20" i="2"/>
  <c r="BJ20" i="2"/>
  <c r="BH20" i="2"/>
  <c r="BG20" i="2"/>
  <c r="AW20" i="2"/>
  <c r="EN20" i="2" s="1"/>
  <c r="AU20" i="2"/>
  <c r="EL20" i="2" s="1"/>
  <c r="AQ20" i="2"/>
  <c r="FD20" i="2" s="1"/>
  <c r="FE20" i="2" s="1"/>
  <c r="AP20" i="2"/>
  <c r="Z20" i="2"/>
  <c r="Y20" i="2"/>
  <c r="X20" i="2"/>
  <c r="O20" i="2"/>
  <c r="M20" i="2"/>
  <c r="I20" i="2"/>
  <c r="H20" i="2"/>
  <c r="G20" i="2"/>
  <c r="F20" i="2"/>
  <c r="E20" i="2"/>
  <c r="D20" i="2"/>
  <c r="C20" i="2"/>
  <c r="FJ19" i="2"/>
  <c r="FD19" i="2"/>
  <c r="FB19" i="2"/>
  <c r="FA19" i="2"/>
  <c r="EY19" i="2"/>
  <c r="EW19" i="2"/>
  <c r="EV19" i="2"/>
  <c r="ET19" i="2"/>
  <c r="ES19" i="2"/>
  <c r="ER19" i="2"/>
  <c r="EQ19" i="2"/>
  <c r="EP19" i="2"/>
  <c r="EO19" i="2"/>
  <c r="EN19" i="2"/>
  <c r="EM19" i="2"/>
  <c r="EL19" i="2"/>
  <c r="EK19" i="2"/>
  <c r="EJ19" i="2"/>
  <c r="EI19" i="2"/>
  <c r="EF19" i="2"/>
  <c r="DW19" i="2"/>
  <c r="DV19" i="2"/>
  <c r="DU19" i="2"/>
  <c r="DR19" i="2"/>
  <c r="DQ19" i="2"/>
  <c r="DP19" i="2"/>
  <c r="DM19" i="2"/>
  <c r="DL19" i="2"/>
  <c r="DK19" i="2"/>
  <c r="DC19" i="2"/>
  <c r="DB19" i="2"/>
  <c r="CY19" i="2"/>
  <c r="CX19" i="2"/>
  <c r="CW19" i="2"/>
  <c r="CV19" i="2"/>
  <c r="CT19" i="2"/>
  <c r="CS19" i="2"/>
  <c r="CR19" i="2"/>
  <c r="ED19" i="2" s="1"/>
  <c r="CC19" i="2"/>
  <c r="CA19" i="2"/>
  <c r="BZ19" i="2"/>
  <c r="EE19" i="2" s="1"/>
  <c r="FM19" i="2" s="1"/>
  <c r="BX19" i="2"/>
  <c r="BV19" i="2"/>
  <c r="DG19" i="2" s="1"/>
  <c r="BU19" i="2"/>
  <c r="DY19" i="2" s="1"/>
  <c r="BT19" i="2"/>
  <c r="BR19" i="2"/>
  <c r="DD19" i="2" s="1"/>
  <c r="BQ19" i="2"/>
  <c r="BP19" i="2"/>
  <c r="BO19" i="2"/>
  <c r="BN19" i="2"/>
  <c r="BM19" i="2"/>
  <c r="BL19" i="2"/>
  <c r="BK19" i="2"/>
  <c r="BJ19" i="2"/>
  <c r="FF19" i="2" s="1"/>
  <c r="FG19" i="2" s="1"/>
  <c r="BG19" i="2"/>
  <c r="BC19" i="2"/>
  <c r="AU19" i="2"/>
  <c r="I19" i="2"/>
  <c r="H19" i="2"/>
  <c r="G19" i="2"/>
  <c r="F19" i="2"/>
  <c r="E19" i="2"/>
  <c r="D19" i="2"/>
  <c r="C19" i="2"/>
  <c r="FN18" i="2"/>
  <c r="FJ18" i="2"/>
  <c r="FD18" i="2"/>
  <c r="FB18" i="2"/>
  <c r="EV18" i="2"/>
  <c r="ET18" i="2"/>
  <c r="ES18" i="2"/>
  <c r="ER18" i="2"/>
  <c r="EQ18" i="2"/>
  <c r="EP18" i="2"/>
  <c r="EO18" i="2"/>
  <c r="EN18" i="2"/>
  <c r="EM18" i="2"/>
  <c r="EL18" i="2"/>
  <c r="EK18" i="2"/>
  <c r="EJ18" i="2"/>
  <c r="EI18" i="2"/>
  <c r="EC18" i="2"/>
  <c r="DZ18" i="2"/>
  <c r="DW18" i="2"/>
  <c r="DV18" i="2"/>
  <c r="DU18" i="2"/>
  <c r="DT18" i="2"/>
  <c r="DS18" i="2"/>
  <c r="DR18" i="2"/>
  <c r="DQ18" i="2"/>
  <c r="DP18" i="2"/>
  <c r="DJ18" i="2"/>
  <c r="DG18" i="2"/>
  <c r="DD18" i="2"/>
  <c r="DC18" i="2"/>
  <c r="DB18" i="2"/>
  <c r="DA18" i="2"/>
  <c r="CZ18" i="2"/>
  <c r="CY18" i="2"/>
  <c r="CX18" i="2"/>
  <c r="CW18" i="2"/>
  <c r="CV18" i="2"/>
  <c r="CT18" i="2"/>
  <c r="EY18" i="2" s="1"/>
  <c r="CS18" i="2"/>
  <c r="EX18" i="2" s="1"/>
  <c r="CR18" i="2"/>
  <c r="EW18" i="2" s="1"/>
  <c r="CC18" i="2"/>
  <c r="CA18" i="2"/>
  <c r="BZ18" i="2"/>
  <c r="BY18" i="2"/>
  <c r="BW18" i="2"/>
  <c r="BV18" i="2"/>
  <c r="BU18" i="2"/>
  <c r="BT18" i="2"/>
  <c r="BR18" i="2"/>
  <c r="BJ18" i="2"/>
  <c r="FF18" i="2" s="1"/>
  <c r="FG18" i="2" s="1"/>
  <c r="BH18" i="2"/>
  <c r="BG18" i="2"/>
  <c r="BF18" i="2"/>
  <c r="I18" i="2"/>
  <c r="H18" i="2"/>
  <c r="G18" i="2"/>
  <c r="F18" i="2"/>
  <c r="E18" i="2"/>
  <c r="D18" i="2"/>
  <c r="C18" i="2"/>
  <c r="FL17" i="2"/>
  <c r="FK17" i="2"/>
  <c r="FJ17" i="2"/>
  <c r="FN17" i="2" s="1"/>
  <c r="FH17" i="2"/>
  <c r="FF17" i="2"/>
  <c r="FG17" i="2" s="1"/>
  <c r="FB17" i="2"/>
  <c r="EV17" i="2"/>
  <c r="ET17" i="2"/>
  <c r="ES17" i="2"/>
  <c r="ER17" i="2"/>
  <c r="EQ17" i="2"/>
  <c r="EP17" i="2"/>
  <c r="EO17" i="2"/>
  <c r="EN17" i="2"/>
  <c r="EM17" i="2"/>
  <c r="EL17" i="2"/>
  <c r="EK17" i="2"/>
  <c r="EJ17" i="2"/>
  <c r="EI17" i="2"/>
  <c r="EC17" i="2"/>
  <c r="EA17" i="2"/>
  <c r="DZ17" i="2"/>
  <c r="DY17" i="2"/>
  <c r="DV17" i="2"/>
  <c r="DR17" i="2"/>
  <c r="DQ17" i="2"/>
  <c r="DK17" i="2"/>
  <c r="DJ17" i="2"/>
  <c r="DG17" i="2"/>
  <c r="DF17" i="2"/>
  <c r="DE17" i="2"/>
  <c r="DD17" i="2"/>
  <c r="DC17" i="2"/>
  <c r="DB17" i="2"/>
  <c r="CX17" i="2"/>
  <c r="CV17" i="2"/>
  <c r="FA17" i="2" s="1"/>
  <c r="CT17" i="2"/>
  <c r="CS17" i="2"/>
  <c r="EX17" i="2" s="1"/>
  <c r="CR17" i="2"/>
  <c r="EW17" i="2" s="1"/>
  <c r="CC17" i="2"/>
  <c r="BY17" i="2"/>
  <c r="BX17" i="2"/>
  <c r="BW17" i="2"/>
  <c r="DH17" i="2" s="1"/>
  <c r="BV17" i="2"/>
  <c r="BU17" i="2"/>
  <c r="BT17" i="2"/>
  <c r="DX17" i="2" s="1"/>
  <c r="BR17" i="2"/>
  <c r="DW17" i="2" s="1"/>
  <c r="BQ17" i="2"/>
  <c r="BP17" i="2"/>
  <c r="DU17" i="2" s="1"/>
  <c r="BO17" i="2"/>
  <c r="DA17" i="2" s="1"/>
  <c r="BN17" i="2"/>
  <c r="BM17" i="2"/>
  <c r="CY17" i="2" s="1"/>
  <c r="BL17" i="2"/>
  <c r="BK17" i="2"/>
  <c r="DP17" i="2" s="1"/>
  <c r="BJ17" i="2"/>
  <c r="BH17" i="2"/>
  <c r="EY17" i="2" s="1"/>
  <c r="BG17" i="2"/>
  <c r="AQ17" i="2"/>
  <c r="FD17" i="2" s="1"/>
  <c r="FE17" i="2" s="1"/>
  <c r="AP17" i="2"/>
  <c r="AO17" i="2"/>
  <c r="I17" i="2"/>
  <c r="H17" i="2"/>
  <c r="G17" i="2"/>
  <c r="F17" i="2"/>
  <c r="E17" i="2"/>
  <c r="D17" i="2"/>
  <c r="C17" i="2"/>
  <c r="FJ16" i="2"/>
  <c r="FF16" i="2"/>
  <c r="FD16" i="2"/>
  <c r="FE16" i="2" s="1"/>
  <c r="FA16" i="2"/>
  <c r="EY16" i="2"/>
  <c r="EV16" i="2"/>
  <c r="ET16" i="2"/>
  <c r="ES16" i="2"/>
  <c r="ER16" i="2"/>
  <c r="EQ16" i="2"/>
  <c r="EP16" i="2"/>
  <c r="EO16" i="2"/>
  <c r="EM16" i="2"/>
  <c r="EL16" i="2"/>
  <c r="EK16" i="2"/>
  <c r="EJ16" i="2"/>
  <c r="EI16" i="2"/>
  <c r="EF16" i="2"/>
  <c r="EC16" i="2"/>
  <c r="EA16" i="2"/>
  <c r="DZ16" i="2"/>
  <c r="DY16" i="2"/>
  <c r="DX16" i="2"/>
  <c r="DW16" i="2"/>
  <c r="DV16" i="2"/>
  <c r="DT16" i="2"/>
  <c r="DS16" i="2"/>
  <c r="DR16" i="2"/>
  <c r="DQ16" i="2"/>
  <c r="DP16" i="2"/>
  <c r="DK16" i="2"/>
  <c r="DJ16" i="2"/>
  <c r="DH16" i="2"/>
  <c r="DG16" i="2"/>
  <c r="DF16" i="2"/>
  <c r="DE16" i="2"/>
  <c r="DD16" i="2"/>
  <c r="DC16" i="2"/>
  <c r="DB16" i="2"/>
  <c r="DA16" i="2"/>
  <c r="CZ16" i="2"/>
  <c r="CY16" i="2"/>
  <c r="CX16" i="2"/>
  <c r="CW16" i="2"/>
  <c r="CV16" i="2"/>
  <c r="CT16" i="2"/>
  <c r="CS16" i="2"/>
  <c r="CR16" i="2"/>
  <c r="CC16" i="2"/>
  <c r="CA16" i="2"/>
  <c r="DM16" i="2" s="1"/>
  <c r="BP16" i="2"/>
  <c r="BN16" i="2"/>
  <c r="BJ16" i="2"/>
  <c r="BH16" i="2"/>
  <c r="AW16" i="2"/>
  <c r="EN16" i="2" s="1"/>
  <c r="AU16" i="2"/>
  <c r="AQ16" i="2"/>
  <c r="AP16" i="2"/>
  <c r="AD16" i="2"/>
  <c r="Z16" i="2"/>
  <c r="FB16" i="2" s="1"/>
  <c r="FC16" i="2" s="1"/>
  <c r="Y16" i="2"/>
  <c r="O16" i="2"/>
  <c r="X16" i="2" s="1"/>
  <c r="M16" i="2"/>
  <c r="I16" i="2"/>
  <c r="H16" i="2"/>
  <c r="G16" i="2"/>
  <c r="F16" i="2"/>
  <c r="E16" i="2"/>
  <c r="D16" i="2"/>
  <c r="C16" i="2"/>
  <c r="FJ15" i="2"/>
  <c r="FD15" i="2"/>
  <c r="FB15" i="2"/>
  <c r="EY15" i="2"/>
  <c r="EW15" i="2"/>
  <c r="EV15" i="2"/>
  <c r="ES15" i="2"/>
  <c r="ER15" i="2"/>
  <c r="EQ15" i="2"/>
  <c r="EP15" i="2"/>
  <c r="EO15" i="2"/>
  <c r="EN15" i="2"/>
  <c r="EM15" i="2"/>
  <c r="EK15" i="2"/>
  <c r="EJ15" i="2"/>
  <c r="EI15" i="2"/>
  <c r="EF15" i="2"/>
  <c r="EC15" i="2"/>
  <c r="DZ15" i="2"/>
  <c r="DY15" i="2"/>
  <c r="DV15" i="2"/>
  <c r="DU15" i="2"/>
  <c r="DP15" i="2"/>
  <c r="DK15" i="2"/>
  <c r="DJ15" i="2"/>
  <c r="DG15" i="2"/>
  <c r="DF15" i="2"/>
  <c r="DE15" i="2"/>
  <c r="DD15" i="2"/>
  <c r="DC15" i="2"/>
  <c r="DB15" i="2"/>
  <c r="DA15" i="2"/>
  <c r="CX15" i="2"/>
  <c r="CW15" i="2"/>
  <c r="CV15" i="2"/>
  <c r="CT15" i="2"/>
  <c r="CS15" i="2"/>
  <c r="CR15" i="2"/>
  <c r="ED15" i="2" s="1"/>
  <c r="CC15" i="2"/>
  <c r="CA15" i="2"/>
  <c r="DM15" i="2" s="1"/>
  <c r="BX15" i="2"/>
  <c r="BV15" i="2"/>
  <c r="BU15" i="2"/>
  <c r="BT15" i="2"/>
  <c r="BW15" i="2" s="1"/>
  <c r="BR15" i="2"/>
  <c r="DW15" i="2" s="1"/>
  <c r="BQ15" i="2"/>
  <c r="BP15" i="2"/>
  <c r="BO15" i="2"/>
  <c r="BM15" i="2"/>
  <c r="BL15" i="2"/>
  <c r="DQ15" i="2" s="1"/>
  <c r="BK15" i="2"/>
  <c r="BJ15" i="2"/>
  <c r="BG15" i="2"/>
  <c r="EX15" i="2" s="1"/>
  <c r="BC15" i="2"/>
  <c r="ET15" i="2" s="1"/>
  <c r="AU15" i="2"/>
  <c r="EL15" i="2" s="1"/>
  <c r="I15" i="2"/>
  <c r="H15" i="2"/>
  <c r="G15" i="2"/>
  <c r="F15" i="2"/>
  <c r="E15" i="2"/>
  <c r="D15" i="2"/>
  <c r="C15" i="2"/>
  <c r="FM14" i="2"/>
  <c r="EX14" i="2"/>
  <c r="EW14" i="2"/>
  <c r="EV14" i="2"/>
  <c r="EQ14" i="2"/>
  <c r="EP14" i="2"/>
  <c r="EO14" i="2"/>
  <c r="EN14" i="2"/>
  <c r="EM14" i="2"/>
  <c r="EL14" i="2"/>
  <c r="EK14" i="2"/>
  <c r="EJ14" i="2"/>
  <c r="EI14" i="2"/>
  <c r="DY14" i="2"/>
  <c r="DL14" i="2"/>
  <c r="DK14" i="2"/>
  <c r="DJ14" i="2"/>
  <c r="DE14" i="2"/>
  <c r="DD14" i="2"/>
  <c r="DC14" i="2"/>
  <c r="DB14" i="2"/>
  <c r="DA14" i="2"/>
  <c r="CZ14" i="2"/>
  <c r="CY14" i="2"/>
  <c r="CX14" i="2"/>
  <c r="CW14" i="2"/>
  <c r="CN14" i="2"/>
  <c r="CM14" i="2"/>
  <c r="CL14" i="2"/>
  <c r="BV14" i="2"/>
  <c r="BU14" i="2"/>
  <c r="BA14" i="2"/>
  <c r="ER14" i="2" s="1"/>
  <c r="AL14" i="2"/>
  <c r="AQ14" i="2" s="1"/>
  <c r="FD14" i="2" s="1"/>
  <c r="AK14" i="2"/>
  <c r="AJ14" i="2"/>
  <c r="S14" i="2"/>
  <c r="I14" i="2"/>
  <c r="H14" i="2"/>
  <c r="F14" i="2"/>
  <c r="E14" i="2"/>
  <c r="D14" i="2"/>
  <c r="C14" i="2"/>
  <c r="FI13" i="2"/>
  <c r="FH13" i="2"/>
  <c r="FF13" i="2"/>
  <c r="FG13" i="2" s="1"/>
  <c r="FD13" i="2"/>
  <c r="FB13" i="2"/>
  <c r="EY13" i="2"/>
  <c r="EV13" i="2"/>
  <c r="EP13" i="2"/>
  <c r="EO13" i="2"/>
  <c r="EN13" i="2"/>
  <c r="EM13" i="2"/>
  <c r="EL13" i="2"/>
  <c r="EK13" i="2"/>
  <c r="EJ13" i="2"/>
  <c r="EI13" i="2"/>
  <c r="EF13" i="2"/>
  <c r="EE13" i="2"/>
  <c r="FM13" i="2" s="1"/>
  <c r="ED13" i="2"/>
  <c r="EC13" i="2"/>
  <c r="DZ13" i="2"/>
  <c r="DW13" i="2"/>
  <c r="DV13" i="2"/>
  <c r="DU13" i="2"/>
  <c r="DT13" i="2"/>
  <c r="DS13" i="2"/>
  <c r="DR13" i="2"/>
  <c r="DQ13" i="2"/>
  <c r="DP13" i="2"/>
  <c r="DM13" i="2"/>
  <c r="DK13" i="2"/>
  <c r="DG13" i="2"/>
  <c r="DF13" i="2"/>
  <c r="DE13" i="2"/>
  <c r="DD13" i="2"/>
  <c r="DC13" i="2"/>
  <c r="DB13" i="2"/>
  <c r="DA13" i="2"/>
  <c r="CZ13" i="2"/>
  <c r="CY13" i="2"/>
  <c r="CX13" i="2"/>
  <c r="CW13" i="2"/>
  <c r="CV13" i="2"/>
  <c r="CS13" i="2"/>
  <c r="EX13" i="2" s="1"/>
  <c r="CR13" i="2"/>
  <c r="EW13" i="2" s="1"/>
  <c r="CO13" i="2"/>
  <c r="CN13" i="2"/>
  <c r="ES13" i="2" s="1"/>
  <c r="CM13" i="2"/>
  <c r="DY13" i="2" s="1"/>
  <c r="CL13" i="2"/>
  <c r="DX13" i="2" s="1"/>
  <c r="CA13" i="2"/>
  <c r="CC13" i="2" s="1"/>
  <c r="DO13" i="2" s="1"/>
  <c r="BZ13" i="2"/>
  <c r="DL13" i="2" s="1"/>
  <c r="BY13" i="2"/>
  <c r="BX13" i="2"/>
  <c r="DJ13" i="2" s="1"/>
  <c r="BJ13" i="2"/>
  <c r="I13" i="2"/>
  <c r="H13" i="2"/>
  <c r="G13" i="2"/>
  <c r="F13" i="2"/>
  <c r="E13" i="2"/>
  <c r="D13" i="2"/>
  <c r="C13" i="2"/>
  <c r="FD12" i="2"/>
  <c r="FE12" i="2" s="1"/>
  <c r="EV12" i="2"/>
  <c r="ET12" i="2"/>
  <c r="ES12" i="2"/>
  <c r="ER12" i="2"/>
  <c r="EQ12" i="2"/>
  <c r="EP12" i="2"/>
  <c r="EO12" i="2"/>
  <c r="EN12" i="2"/>
  <c r="EM12" i="2"/>
  <c r="EL12" i="2"/>
  <c r="EK12" i="2"/>
  <c r="EJ12" i="2"/>
  <c r="EI12" i="2"/>
  <c r="EC12" i="2"/>
  <c r="EA12" i="2"/>
  <c r="DZ12" i="2"/>
  <c r="DY12" i="2"/>
  <c r="DX12" i="2"/>
  <c r="DW12" i="2"/>
  <c r="DV12" i="2"/>
  <c r="DU12" i="2"/>
  <c r="DT12" i="2"/>
  <c r="DR12" i="2"/>
  <c r="DQ12" i="2"/>
  <c r="DP12" i="2"/>
  <c r="DO12" i="2"/>
  <c r="DK12" i="2"/>
  <c r="DJ12" i="2"/>
  <c r="DH12" i="2"/>
  <c r="DG12" i="2"/>
  <c r="DF12" i="2"/>
  <c r="DE12" i="2"/>
  <c r="DD12" i="2"/>
  <c r="DC12" i="2"/>
  <c r="DA12" i="2"/>
  <c r="CY12" i="2"/>
  <c r="CX12" i="2"/>
  <c r="CW12" i="2"/>
  <c r="CV12" i="2"/>
  <c r="CT12" i="2"/>
  <c r="CS12" i="2"/>
  <c r="CR12" i="2"/>
  <c r="ED12" i="2" s="1"/>
  <c r="CC12" i="2"/>
  <c r="CA12" i="2"/>
  <c r="EF12" i="2" s="1"/>
  <c r="BZ12" i="2"/>
  <c r="BP12" i="2"/>
  <c r="DB12" i="2" s="1"/>
  <c r="BN12" i="2"/>
  <c r="BJ12" i="2"/>
  <c r="FF12" i="2" s="1"/>
  <c r="BH12" i="2"/>
  <c r="AW12" i="2"/>
  <c r="BG12" i="2" s="1"/>
  <c r="EX12" i="2" s="1"/>
  <c r="AU12" i="2"/>
  <c r="AQ12" i="2"/>
  <c r="AP12" i="2"/>
  <c r="AD12" i="2"/>
  <c r="Z12" i="2"/>
  <c r="FB12" i="2" s="1"/>
  <c r="Y12" i="2"/>
  <c r="O12" i="2"/>
  <c r="X12" i="2" s="1"/>
  <c r="FC12" i="2" s="1"/>
  <c r="M12" i="2"/>
  <c r="I12" i="2"/>
  <c r="H12" i="2"/>
  <c r="G12" i="2"/>
  <c r="F12" i="2"/>
  <c r="E12" i="2"/>
  <c r="D12" i="2"/>
  <c r="C12" i="2"/>
  <c r="FM11" i="2"/>
  <c r="EX11" i="2"/>
  <c r="EW11" i="2"/>
  <c r="EV11" i="2"/>
  <c r="ER11" i="2"/>
  <c r="EP11" i="2"/>
  <c r="EO11" i="2"/>
  <c r="EN11" i="2"/>
  <c r="EM11" i="2"/>
  <c r="EL11" i="2"/>
  <c r="EK11" i="2"/>
  <c r="EJ11" i="2"/>
  <c r="EI11" i="2"/>
  <c r="DZ11" i="2"/>
  <c r="DL11" i="2"/>
  <c r="DK11" i="2"/>
  <c r="DJ11" i="2"/>
  <c r="DE11" i="2"/>
  <c r="DD11" i="2"/>
  <c r="DC11" i="2"/>
  <c r="DB11" i="2"/>
  <c r="DA11" i="2"/>
  <c r="CZ11" i="2"/>
  <c r="CY11" i="2"/>
  <c r="CX11" i="2"/>
  <c r="CW11" i="2"/>
  <c r="CN11" i="2"/>
  <c r="CM11" i="2"/>
  <c r="CL11" i="2"/>
  <c r="BV11" i="2"/>
  <c r="BW11" i="2" s="1"/>
  <c r="BU11" i="2"/>
  <c r="DY11" i="2" s="1"/>
  <c r="BC11" i="2"/>
  <c r="DH11" i="2" s="1"/>
  <c r="BB11" i="2"/>
  <c r="BA11" i="2"/>
  <c r="AJ11" i="2"/>
  <c r="Z11" i="2"/>
  <c r="FB11" i="2" s="1"/>
  <c r="U11" i="2"/>
  <c r="T11" i="2"/>
  <c r="S11" i="2"/>
  <c r="I11" i="2"/>
  <c r="H11" i="2"/>
  <c r="F11" i="2"/>
  <c r="E11" i="2"/>
  <c r="D11" i="2"/>
  <c r="C11" i="2"/>
  <c r="FM10" i="2"/>
  <c r="EX10" i="2"/>
  <c r="EW10" i="2"/>
  <c r="EV10" i="2"/>
  <c r="ET10" i="2"/>
  <c r="ES10" i="2"/>
  <c r="ER10" i="2"/>
  <c r="EQ10" i="2"/>
  <c r="EP10" i="2"/>
  <c r="EO10" i="2"/>
  <c r="EN10" i="2"/>
  <c r="EM10" i="2"/>
  <c r="EL10" i="2"/>
  <c r="EK10" i="2"/>
  <c r="EJ10" i="2"/>
  <c r="EI10" i="2"/>
  <c r="DZ10" i="2"/>
  <c r="DX10" i="2"/>
  <c r="DL10" i="2"/>
  <c r="DK10" i="2"/>
  <c r="DJ10" i="2"/>
  <c r="DF10" i="2"/>
  <c r="DE10" i="2"/>
  <c r="DD10" i="2"/>
  <c r="DC10" i="2"/>
  <c r="DB10" i="2"/>
  <c r="DA10" i="2"/>
  <c r="CZ10" i="2"/>
  <c r="CY10" i="2"/>
  <c r="CX10" i="2"/>
  <c r="CW10" i="2"/>
  <c r="CO10" i="2"/>
  <c r="CV10" i="2" s="1"/>
  <c r="CN10" i="2"/>
  <c r="CM10" i="2"/>
  <c r="DY10" i="2" s="1"/>
  <c r="CL10" i="2"/>
  <c r="BW10" i="2"/>
  <c r="DH10" i="2" s="1"/>
  <c r="BV10" i="2"/>
  <c r="BU10" i="2"/>
  <c r="BB10" i="2"/>
  <c r="BC10" i="2" s="1"/>
  <c r="BA10" i="2"/>
  <c r="AJ10" i="2"/>
  <c r="U10" i="2"/>
  <c r="S10" i="2"/>
  <c r="T10" i="2" s="1"/>
  <c r="I10" i="2"/>
  <c r="H10" i="2"/>
  <c r="F10" i="2"/>
  <c r="E10" i="2"/>
  <c r="D10" i="2"/>
  <c r="C10" i="2"/>
  <c r="FB9" i="2"/>
  <c r="EW9" i="2"/>
  <c r="EV9" i="2"/>
  <c r="ET9" i="2"/>
  <c r="ES9" i="2"/>
  <c r="ER9" i="2"/>
  <c r="EQ9" i="2"/>
  <c r="EP9" i="2"/>
  <c r="EO9" i="2"/>
  <c r="EN9" i="2"/>
  <c r="EM9" i="2"/>
  <c r="EL9" i="2"/>
  <c r="EK9" i="2"/>
  <c r="EJ9" i="2"/>
  <c r="EI9" i="2"/>
  <c r="EH9" i="2"/>
  <c r="EC9" i="2"/>
  <c r="EA9" i="2"/>
  <c r="DZ9" i="2"/>
  <c r="DY9" i="2"/>
  <c r="DX9" i="2"/>
  <c r="DV9" i="2"/>
  <c r="DU9" i="2"/>
  <c r="DT9" i="2"/>
  <c r="DS9" i="2"/>
  <c r="DR9" i="2"/>
  <c r="DQ9" i="2"/>
  <c r="DJ9" i="2"/>
  <c r="DH9" i="2"/>
  <c r="DG9" i="2"/>
  <c r="DE9" i="2"/>
  <c r="DD9" i="2"/>
  <c r="DC9" i="2"/>
  <c r="DB9" i="2"/>
  <c r="DA9" i="2"/>
  <c r="CZ9" i="2"/>
  <c r="CX9" i="2"/>
  <c r="CV9" i="2"/>
  <c r="FJ9" i="2" s="1"/>
  <c r="CT9" i="2"/>
  <c r="EF9" i="2" s="1"/>
  <c r="CS9" i="2"/>
  <c r="EX9" i="2" s="1"/>
  <c r="CR9" i="2"/>
  <c r="CC9" i="2"/>
  <c r="BY9" i="2"/>
  <c r="BX9" i="2"/>
  <c r="BW9" i="2"/>
  <c r="BV9" i="2"/>
  <c r="BU9" i="2"/>
  <c r="DF9" i="2" s="1"/>
  <c r="BT9" i="2"/>
  <c r="CA9" i="2" s="1"/>
  <c r="DM9" i="2" s="1"/>
  <c r="BR9" i="2"/>
  <c r="DW9" i="2" s="1"/>
  <c r="BQ9" i="2"/>
  <c r="BP9" i="2"/>
  <c r="BO9" i="2"/>
  <c r="BZ9" i="2" s="1"/>
  <c r="EE9" i="2" s="1"/>
  <c r="FM9" i="2" s="1"/>
  <c r="BN9" i="2"/>
  <c r="BM9" i="2"/>
  <c r="CY9" i="2" s="1"/>
  <c r="BL9" i="2"/>
  <c r="BK9" i="2"/>
  <c r="BJ9" i="2"/>
  <c r="FF9" i="2" s="1"/>
  <c r="FG9" i="2" s="1"/>
  <c r="BH9" i="2"/>
  <c r="BG9" i="2"/>
  <c r="AQ9" i="2"/>
  <c r="FD9" i="2" s="1"/>
  <c r="FE9" i="2" s="1"/>
  <c r="AP9" i="2"/>
  <c r="AO9" i="2"/>
  <c r="I9" i="2"/>
  <c r="H9" i="2"/>
  <c r="G9" i="2"/>
  <c r="F9" i="2"/>
  <c r="E9" i="2"/>
  <c r="D9" i="2"/>
  <c r="C9" i="2"/>
  <c r="FM8" i="2"/>
  <c r="EX8" i="2"/>
  <c r="EW8" i="2"/>
  <c r="EV8" i="2"/>
  <c r="ES8" i="2"/>
  <c r="EP8" i="2"/>
  <c r="EO8" i="2"/>
  <c r="EN8" i="2"/>
  <c r="EM8" i="2"/>
  <c r="EL8" i="2"/>
  <c r="EK8" i="2"/>
  <c r="EJ8" i="2"/>
  <c r="EI8" i="2"/>
  <c r="DL8" i="2"/>
  <c r="DK8" i="2"/>
  <c r="DJ8" i="2"/>
  <c r="DE8" i="2"/>
  <c r="DD8" i="2"/>
  <c r="DC8" i="2"/>
  <c r="DB8" i="2"/>
  <c r="DA8" i="2"/>
  <c r="CZ8" i="2"/>
  <c r="CY8" i="2"/>
  <c r="CX8" i="2"/>
  <c r="CW8" i="2"/>
  <c r="CN8" i="2"/>
  <c r="CO8" i="2" s="1"/>
  <c r="ET8" i="2" s="1"/>
  <c r="CM8" i="2"/>
  <c r="ER8" i="2" s="1"/>
  <c r="CL8" i="2"/>
  <c r="BV8" i="2"/>
  <c r="BU8" i="2"/>
  <c r="BJ8" i="2"/>
  <c r="FF8" i="2" s="1"/>
  <c r="BC8" i="2"/>
  <c r="BB8" i="2"/>
  <c r="BA8" i="2"/>
  <c r="AJ8" i="2"/>
  <c r="S8" i="2"/>
  <c r="I8" i="2"/>
  <c r="H8" i="2"/>
  <c r="F8" i="2"/>
  <c r="E8" i="2"/>
  <c r="D8" i="2"/>
  <c r="C8" i="2"/>
  <c r="FM7" i="2"/>
  <c r="EX7" i="2"/>
  <c r="EW7" i="2"/>
  <c r="EV7" i="2"/>
  <c r="EQ7" i="2"/>
  <c r="EP7" i="2"/>
  <c r="EO7" i="2"/>
  <c r="EN7" i="2"/>
  <c r="EM7" i="2"/>
  <c r="EL7" i="2"/>
  <c r="EK7" i="2"/>
  <c r="EJ7" i="2"/>
  <c r="EI7" i="2"/>
  <c r="DX7" i="2"/>
  <c r="DL7" i="2"/>
  <c r="DK7" i="2"/>
  <c r="DJ7" i="2"/>
  <c r="DE7" i="2"/>
  <c r="DD7" i="2"/>
  <c r="DC7" i="2"/>
  <c r="DB7" i="2"/>
  <c r="DA7" i="2"/>
  <c r="CZ7" i="2"/>
  <c r="CY7" i="2"/>
  <c r="CX7" i="2"/>
  <c r="CW7" i="2"/>
  <c r="CN7" i="2"/>
  <c r="CM7" i="2"/>
  <c r="CL7" i="2"/>
  <c r="BU7" i="2"/>
  <c r="BA7" i="2"/>
  <c r="AK7" i="2"/>
  <c r="AL7" i="2" s="1"/>
  <c r="AJ7" i="2"/>
  <c r="Z7" i="2"/>
  <c r="FB7" i="2" s="1"/>
  <c r="U7" i="2"/>
  <c r="T7" i="2"/>
  <c r="S7" i="2"/>
  <c r="I7" i="2"/>
  <c r="H7" i="2"/>
  <c r="F7" i="2"/>
  <c r="E7" i="2"/>
  <c r="D7" i="2"/>
  <c r="C7" i="2"/>
  <c r="FG6" i="2"/>
  <c r="FF6" i="2"/>
  <c r="FD6" i="2"/>
  <c r="FB6" i="2"/>
  <c r="FA6" i="2"/>
  <c r="EY6" i="2"/>
  <c r="EX6" i="2"/>
  <c r="EW6" i="2"/>
  <c r="EV6" i="2"/>
  <c r="ET6" i="2"/>
  <c r="ES6" i="2"/>
  <c r="ER6" i="2"/>
  <c r="EQ6" i="2"/>
  <c r="EO6" i="2"/>
  <c r="EN6" i="2"/>
  <c r="EM6" i="2"/>
  <c r="EL6" i="2"/>
  <c r="EK6" i="2"/>
  <c r="EJ6" i="2"/>
  <c r="EI6" i="2"/>
  <c r="EE6" i="2"/>
  <c r="FM6" i="2" s="1"/>
  <c r="EC6" i="2"/>
  <c r="EA6" i="2"/>
  <c r="DZ6" i="2"/>
  <c r="DX6" i="2"/>
  <c r="DV6" i="2"/>
  <c r="DU6" i="2"/>
  <c r="DR6" i="2"/>
  <c r="DQ6" i="2"/>
  <c r="DP6" i="2"/>
  <c r="DL6" i="2"/>
  <c r="DK6" i="2"/>
  <c r="DJ6" i="2"/>
  <c r="DE6" i="2"/>
  <c r="DC6" i="2"/>
  <c r="DB6" i="2"/>
  <c r="CY6" i="2"/>
  <c r="CX6" i="2"/>
  <c r="CW6" i="2"/>
  <c r="CV6" i="2"/>
  <c r="FJ6" i="2" s="1"/>
  <c r="FN6" i="2" s="1"/>
  <c r="CS6" i="2"/>
  <c r="CR6" i="2"/>
  <c r="ED6" i="2" s="1"/>
  <c r="BZ6" i="2"/>
  <c r="BY6" i="2"/>
  <c r="BW6" i="2"/>
  <c r="BV6" i="2"/>
  <c r="DG6" i="2" s="1"/>
  <c r="BU6" i="2"/>
  <c r="CC6" i="2" s="1"/>
  <c r="BT6" i="2"/>
  <c r="BQ6" i="2"/>
  <c r="BP6" i="2"/>
  <c r="BO6" i="2"/>
  <c r="BN6" i="2"/>
  <c r="BC6" i="2"/>
  <c r="BJ6" i="2" s="1"/>
  <c r="AY6" i="2"/>
  <c r="EP6" i="2" s="1"/>
  <c r="AU6" i="2"/>
  <c r="I6" i="2"/>
  <c r="H6" i="2"/>
  <c r="G6" i="2"/>
  <c r="F6" i="2"/>
  <c r="E6" i="2"/>
  <c r="D6" i="2"/>
  <c r="C6" i="2"/>
  <c r="FM5" i="2"/>
  <c r="EX5" i="2"/>
  <c r="EW5" i="2"/>
  <c r="EV5" i="2"/>
  <c r="ER5" i="2"/>
  <c r="EQ5" i="2"/>
  <c r="EP5" i="2"/>
  <c r="EO5" i="2"/>
  <c r="EN5" i="2"/>
  <c r="EM5" i="2"/>
  <c r="EL5" i="2"/>
  <c r="EK5" i="2"/>
  <c r="EJ5" i="2"/>
  <c r="EI5" i="2"/>
  <c r="DL5" i="2"/>
  <c r="DK5" i="2"/>
  <c r="DJ5" i="2"/>
  <c r="DE5" i="2"/>
  <c r="DD5" i="2"/>
  <c r="DC5" i="2"/>
  <c r="DB5" i="2"/>
  <c r="DA5" i="2"/>
  <c r="CZ5" i="2"/>
  <c r="CY5" i="2"/>
  <c r="CX5" i="2"/>
  <c r="CW5" i="2"/>
  <c r="CN5" i="2"/>
  <c r="CM5" i="2"/>
  <c r="CL5" i="2"/>
  <c r="BU5" i="2"/>
  <c r="BB5" i="2"/>
  <c r="AJ5" i="2"/>
  <c r="AQ5" i="2" s="1"/>
  <c r="FD5" i="2" s="1"/>
  <c r="S5" i="2"/>
  <c r="I5" i="2"/>
  <c r="H5" i="2"/>
  <c r="F5" i="2"/>
  <c r="E5" i="2"/>
  <c r="D5" i="2"/>
  <c r="C5" i="2"/>
  <c r="FJ4" i="2"/>
  <c r="FD4" i="2"/>
  <c r="FB4" i="2"/>
  <c r="EV4" i="2"/>
  <c r="EQ4" i="2"/>
  <c r="EM4" i="2"/>
  <c r="EL4" i="2"/>
  <c r="EK4" i="2"/>
  <c r="EJ4" i="2"/>
  <c r="EI4" i="2"/>
  <c r="EC4" i="2"/>
  <c r="DY4" i="2"/>
  <c r="DX4" i="2"/>
  <c r="DU4" i="2"/>
  <c r="DT4" i="2"/>
  <c r="DS4" i="2"/>
  <c r="DR4" i="2"/>
  <c r="DQ4" i="2"/>
  <c r="DP4" i="2"/>
  <c r="DJ4" i="2"/>
  <c r="DB4" i="2"/>
  <c r="DA4" i="2"/>
  <c r="CZ4" i="2"/>
  <c r="CY4" i="2"/>
  <c r="CX4" i="2"/>
  <c r="CW4" i="2"/>
  <c r="CV4" i="2"/>
  <c r="CS4" i="2"/>
  <c r="CR4" i="2"/>
  <c r="EW4" i="2" s="1"/>
  <c r="BY4" i="2"/>
  <c r="BU4" i="2"/>
  <c r="BT4" i="2"/>
  <c r="DE4" i="2" s="1"/>
  <c r="BP4" i="2"/>
  <c r="BO4" i="2"/>
  <c r="BF4" i="2"/>
  <c r="BB4" i="2"/>
  <c r="BA4" i="2"/>
  <c r="AW4" i="2"/>
  <c r="I4" i="2"/>
  <c r="H4" i="2"/>
  <c r="G4" i="2"/>
  <c r="F4" i="2"/>
  <c r="E4" i="2"/>
  <c r="D4" i="2"/>
  <c r="C4" i="2"/>
  <c r="KR27" i="1"/>
  <c r="KN27" i="1"/>
  <c r="KM27" i="1"/>
  <c r="KG27" i="1"/>
  <c r="JV27" i="1"/>
  <c r="JS27" i="1"/>
  <c r="JL27" i="1"/>
  <c r="JK27" i="1"/>
  <c r="JH27" i="1"/>
  <c r="JG27" i="1"/>
  <c r="JF27" i="1"/>
  <c r="JE27" i="1"/>
  <c r="JD27" i="1"/>
  <c r="JC27" i="1"/>
  <c r="JB27" i="1"/>
  <c r="JA27" i="1"/>
  <c r="IZ27" i="1"/>
  <c r="IY27" i="1"/>
  <c r="IX27" i="1"/>
  <c r="IW27" i="1"/>
  <c r="IL27" i="1"/>
  <c r="IJ27" i="1"/>
  <c r="IH27" i="1"/>
  <c r="ID27" i="1"/>
  <c r="IA27" i="1"/>
  <c r="HZ27" i="1"/>
  <c r="HT27" i="1"/>
  <c r="HS27" i="1"/>
  <c r="HR27" i="1"/>
  <c r="HQ27" i="1"/>
  <c r="HP27" i="1"/>
  <c r="HO27" i="1"/>
  <c r="HN27" i="1"/>
  <c r="HM27" i="1"/>
  <c r="GB27" i="1"/>
  <c r="FG27" i="1"/>
  <c r="KC27" i="1" s="1"/>
  <c r="EZ27" i="1"/>
  <c r="EY27" i="1"/>
  <c r="JU27" i="1" s="1"/>
  <c r="EX27" i="1"/>
  <c r="JT27" i="1" s="1"/>
  <c r="EW27" i="1"/>
  <c r="EV27" i="1"/>
  <c r="JR27" i="1" s="1"/>
  <c r="EU27" i="1"/>
  <c r="ET27" i="1"/>
  <c r="ES27" i="1"/>
  <c r="JO27" i="1" s="1"/>
  <c r="ER27" i="1"/>
  <c r="JN27" i="1" s="1"/>
  <c r="EN27" i="1"/>
  <c r="DV27" i="1"/>
  <c r="DH27" i="1"/>
  <c r="IV27" i="1" s="1"/>
  <c r="DE27" i="1"/>
  <c r="IS27" i="1" s="1"/>
  <c r="CX27" i="1"/>
  <c r="CW27" i="1"/>
  <c r="IK27" i="1" s="1"/>
  <c r="CV27" i="1"/>
  <c r="CU27" i="1"/>
  <c r="II27" i="1" s="1"/>
  <c r="CT27" i="1"/>
  <c r="CS27" i="1"/>
  <c r="IG27" i="1" s="1"/>
  <c r="CR27" i="1"/>
  <c r="CQ27" i="1"/>
  <c r="IE27" i="1" s="1"/>
  <c r="CL27" i="1"/>
  <c r="BF27" i="1"/>
  <c r="BC27" i="1"/>
  <c r="AV27" i="1"/>
  <c r="AU27" i="1"/>
  <c r="AT27" i="1"/>
  <c r="AS27" i="1"/>
  <c r="AR27" i="1"/>
  <c r="AQ27" i="1"/>
  <c r="AP27" i="1"/>
  <c r="AO27" i="1"/>
  <c r="AJ27" i="1"/>
  <c r="C27" i="1"/>
  <c r="KN26" i="1"/>
  <c r="KM26" i="1"/>
  <c r="KK26" i="1"/>
  <c r="KI26" i="1"/>
  <c r="KG26" i="1"/>
  <c r="JN26" i="1"/>
  <c r="JL26" i="1"/>
  <c r="JK26" i="1"/>
  <c r="KR26" i="1" s="1"/>
  <c r="JJ26" i="1"/>
  <c r="JH26" i="1"/>
  <c r="JG26" i="1"/>
  <c r="JF26" i="1"/>
  <c r="JE26" i="1"/>
  <c r="JD26" i="1"/>
  <c r="JC26" i="1"/>
  <c r="JB26" i="1"/>
  <c r="JA26" i="1"/>
  <c r="IZ26" i="1"/>
  <c r="IY26" i="1"/>
  <c r="IX26" i="1"/>
  <c r="IW26" i="1"/>
  <c r="IL26" i="1"/>
  <c r="II26" i="1"/>
  <c r="IF26" i="1"/>
  <c r="IE26" i="1"/>
  <c r="ID26" i="1"/>
  <c r="IA26" i="1"/>
  <c r="HZ26" i="1"/>
  <c r="HT26" i="1"/>
  <c r="HS26" i="1"/>
  <c r="HR26" i="1"/>
  <c r="HQ26" i="1"/>
  <c r="HP26" i="1"/>
  <c r="HO26" i="1"/>
  <c r="HN26" i="1"/>
  <c r="HM26" i="1"/>
  <c r="FJ26" i="1"/>
  <c r="KL26" i="1" s="1"/>
  <c r="FG26" i="1"/>
  <c r="FF26" i="1"/>
  <c r="EZ26" i="1"/>
  <c r="EY26" i="1"/>
  <c r="EX26" i="1"/>
  <c r="EW26" i="1"/>
  <c r="EV26" i="1"/>
  <c r="EU26" i="1"/>
  <c r="ET26" i="1"/>
  <c r="JP26" i="1" s="1"/>
  <c r="ES26" i="1"/>
  <c r="JO26" i="1" s="1"/>
  <c r="DH26" i="1"/>
  <c r="DE26" i="1"/>
  <c r="DD26" i="1"/>
  <c r="IR26" i="1" s="1"/>
  <c r="CX26" i="1"/>
  <c r="CW26" i="1"/>
  <c r="CV26" i="1"/>
  <c r="IJ26" i="1" s="1"/>
  <c r="CU26" i="1"/>
  <c r="JS26" i="1" s="1"/>
  <c r="CT26" i="1"/>
  <c r="CS26" i="1"/>
  <c r="IG26" i="1" s="1"/>
  <c r="CR26" i="1"/>
  <c r="CQ26" i="1"/>
  <c r="BF26" i="1"/>
  <c r="BC26" i="1"/>
  <c r="BB26" i="1"/>
  <c r="AV26" i="1"/>
  <c r="AU26" i="1"/>
  <c r="AT26" i="1"/>
  <c r="AS26" i="1"/>
  <c r="AR26" i="1"/>
  <c r="AQ26" i="1"/>
  <c r="AP26" i="1"/>
  <c r="AO26" i="1"/>
  <c r="C26" i="1"/>
  <c r="KR25" i="1"/>
  <c r="KN25" i="1"/>
  <c r="KM25" i="1"/>
  <c r="KL25" i="1"/>
  <c r="KK25" i="1"/>
  <c r="KI25" i="1"/>
  <c r="KG25" i="1"/>
  <c r="KB25" i="1"/>
  <c r="JN25" i="1"/>
  <c r="JL25" i="1"/>
  <c r="JK25" i="1"/>
  <c r="JJ25" i="1"/>
  <c r="JH25" i="1"/>
  <c r="JG25" i="1"/>
  <c r="JF25" i="1"/>
  <c r="JE25" i="1"/>
  <c r="JD25" i="1"/>
  <c r="JC25" i="1"/>
  <c r="JB25" i="1"/>
  <c r="JA25" i="1"/>
  <c r="IZ25" i="1"/>
  <c r="IY25" i="1"/>
  <c r="IX25" i="1"/>
  <c r="IW25" i="1"/>
  <c r="IV25" i="1"/>
  <c r="KO25" i="1" s="1"/>
  <c r="IK25" i="1"/>
  <c r="IJ25" i="1"/>
  <c r="IH25" i="1"/>
  <c r="IF25" i="1"/>
  <c r="ID25" i="1"/>
  <c r="IA25" i="1"/>
  <c r="HZ25" i="1"/>
  <c r="HT25" i="1"/>
  <c r="HS25" i="1"/>
  <c r="HR25" i="1"/>
  <c r="HQ25" i="1"/>
  <c r="HP25" i="1"/>
  <c r="HO25" i="1"/>
  <c r="HN25" i="1"/>
  <c r="HM25" i="1"/>
  <c r="FJ25" i="1"/>
  <c r="KF25" i="1" s="1"/>
  <c r="FG25" i="1"/>
  <c r="FF25" i="1"/>
  <c r="EZ25" i="1"/>
  <c r="EY25" i="1"/>
  <c r="JU25" i="1" s="1"/>
  <c r="EX25" i="1"/>
  <c r="JT25" i="1" s="1"/>
  <c r="EW25" i="1"/>
  <c r="EV25" i="1"/>
  <c r="JR25" i="1" s="1"/>
  <c r="EU25" i="1"/>
  <c r="ET25" i="1"/>
  <c r="JP25" i="1" s="1"/>
  <c r="ES25" i="1"/>
  <c r="DH25" i="1"/>
  <c r="DE25" i="1"/>
  <c r="IS25" i="1" s="1"/>
  <c r="DD25" i="1"/>
  <c r="IR25" i="1" s="1"/>
  <c r="CX25" i="1"/>
  <c r="IL25" i="1" s="1"/>
  <c r="CW25" i="1"/>
  <c r="CV25" i="1"/>
  <c r="CU25" i="1"/>
  <c r="II25" i="1" s="1"/>
  <c r="CT25" i="1"/>
  <c r="CS25" i="1"/>
  <c r="IG25" i="1" s="1"/>
  <c r="CR25" i="1"/>
  <c r="CQ25" i="1"/>
  <c r="BF25" i="1"/>
  <c r="BC25" i="1"/>
  <c r="BB25" i="1"/>
  <c r="AV25" i="1"/>
  <c r="AU25" i="1"/>
  <c r="AT25" i="1"/>
  <c r="AS25" i="1"/>
  <c r="AR25" i="1"/>
  <c r="AQ25" i="1"/>
  <c r="AP25" i="1"/>
  <c r="AO25" i="1"/>
  <c r="C25" i="1"/>
  <c r="KN24" i="1"/>
  <c r="KM24" i="1"/>
  <c r="KL24" i="1"/>
  <c r="KI24" i="1"/>
  <c r="KG24" i="1"/>
  <c r="KF24" i="1"/>
  <c r="KC24" i="1"/>
  <c r="KQ24" i="1" s="1"/>
  <c r="JQ24" i="1"/>
  <c r="JP24" i="1"/>
  <c r="JO24" i="1"/>
  <c r="JN24" i="1"/>
  <c r="JL24" i="1"/>
  <c r="JK24" i="1"/>
  <c r="KR24" i="1" s="1"/>
  <c r="JJ24" i="1"/>
  <c r="JH24" i="1"/>
  <c r="JG24" i="1"/>
  <c r="JF24" i="1"/>
  <c r="JE24" i="1"/>
  <c r="JD24" i="1"/>
  <c r="JC24" i="1"/>
  <c r="JB24" i="1"/>
  <c r="JA24" i="1"/>
  <c r="IZ24" i="1"/>
  <c r="IY24" i="1"/>
  <c r="IX24" i="1"/>
  <c r="IW24" i="1"/>
  <c r="IK24" i="1"/>
  <c r="IJ24" i="1"/>
  <c r="II24" i="1"/>
  <c r="IH24" i="1"/>
  <c r="IG24" i="1"/>
  <c r="IF24" i="1"/>
  <c r="ID24" i="1"/>
  <c r="IA24" i="1"/>
  <c r="HZ24" i="1"/>
  <c r="HT24" i="1"/>
  <c r="HS24" i="1"/>
  <c r="HR24" i="1"/>
  <c r="HQ24" i="1"/>
  <c r="HP24" i="1"/>
  <c r="HO24" i="1"/>
  <c r="HN24" i="1"/>
  <c r="HM24" i="1"/>
  <c r="FJ24" i="1"/>
  <c r="FG24" i="1"/>
  <c r="FF24" i="1"/>
  <c r="EZ24" i="1"/>
  <c r="EY24" i="1"/>
  <c r="EX24" i="1"/>
  <c r="JT24" i="1" s="1"/>
  <c r="EW24" i="1"/>
  <c r="JS24" i="1" s="1"/>
  <c r="EV24" i="1"/>
  <c r="JR24" i="1" s="1"/>
  <c r="EU24" i="1"/>
  <c r="ET24" i="1"/>
  <c r="ES24" i="1"/>
  <c r="DH24" i="1"/>
  <c r="IV24" i="1" s="1"/>
  <c r="DE24" i="1"/>
  <c r="IS24" i="1" s="1"/>
  <c r="DD24" i="1"/>
  <c r="IR24" i="1" s="1"/>
  <c r="CX24" i="1"/>
  <c r="CW24" i="1"/>
  <c r="CV24" i="1"/>
  <c r="CU24" i="1"/>
  <c r="CT24" i="1"/>
  <c r="CS24" i="1"/>
  <c r="CR24" i="1"/>
  <c r="CQ24" i="1"/>
  <c r="IE24" i="1" s="1"/>
  <c r="BF24" i="1"/>
  <c r="KK24" i="1" s="1"/>
  <c r="BC24" i="1"/>
  <c r="BB24" i="1"/>
  <c r="AV24" i="1"/>
  <c r="AU24" i="1"/>
  <c r="AT24" i="1"/>
  <c r="AS24" i="1"/>
  <c r="AR24" i="1"/>
  <c r="AQ24" i="1"/>
  <c r="AP24" i="1"/>
  <c r="AO24" i="1"/>
  <c r="C24" i="1"/>
  <c r="KR23" i="1"/>
  <c r="KO23" i="1"/>
  <c r="KN23" i="1"/>
  <c r="KM23" i="1"/>
  <c r="KI23" i="1"/>
  <c r="KG23" i="1"/>
  <c r="KB23" i="1"/>
  <c r="JU23" i="1"/>
  <c r="JQ23" i="1"/>
  <c r="JP23" i="1"/>
  <c r="JN23" i="1"/>
  <c r="JL23" i="1"/>
  <c r="JK23" i="1"/>
  <c r="JJ23" i="1"/>
  <c r="JH23" i="1"/>
  <c r="JG23" i="1"/>
  <c r="JF23" i="1"/>
  <c r="JE23" i="1"/>
  <c r="JD23" i="1"/>
  <c r="JC23" i="1"/>
  <c r="JB23" i="1"/>
  <c r="JA23" i="1"/>
  <c r="IZ23" i="1"/>
  <c r="IY23" i="1"/>
  <c r="IX23" i="1"/>
  <c r="IW23" i="1"/>
  <c r="IR23" i="1"/>
  <c r="IK23" i="1"/>
  <c r="IG23" i="1"/>
  <c r="IF23" i="1"/>
  <c r="ID23" i="1"/>
  <c r="IA23" i="1"/>
  <c r="HZ23" i="1"/>
  <c r="HT23" i="1"/>
  <c r="HS23" i="1"/>
  <c r="HR23" i="1"/>
  <c r="HQ23" i="1"/>
  <c r="HP23" i="1"/>
  <c r="HO23" i="1"/>
  <c r="HN23" i="1"/>
  <c r="HM23" i="1"/>
  <c r="FJ23" i="1"/>
  <c r="FG23" i="1"/>
  <c r="KC23" i="1" s="1"/>
  <c r="KQ23" i="1" s="1"/>
  <c r="FF23" i="1"/>
  <c r="EZ23" i="1"/>
  <c r="EY23" i="1"/>
  <c r="EX23" i="1"/>
  <c r="EW23" i="1"/>
  <c r="EV23" i="1"/>
  <c r="EU23" i="1"/>
  <c r="ET23" i="1"/>
  <c r="ES23" i="1"/>
  <c r="DH23" i="1"/>
  <c r="IV23" i="1" s="1"/>
  <c r="DE23" i="1"/>
  <c r="IS23" i="1" s="1"/>
  <c r="DD23" i="1"/>
  <c r="CX23" i="1"/>
  <c r="CW23" i="1"/>
  <c r="CV23" i="1"/>
  <c r="CU23" i="1"/>
  <c r="II23" i="1" s="1"/>
  <c r="CT23" i="1"/>
  <c r="IH23" i="1" s="1"/>
  <c r="CS23" i="1"/>
  <c r="CR23" i="1"/>
  <c r="CQ23" i="1"/>
  <c r="IE23" i="1" s="1"/>
  <c r="BF23" i="1"/>
  <c r="KK23" i="1" s="1"/>
  <c r="BC23" i="1"/>
  <c r="BB23" i="1"/>
  <c r="AV23" i="1"/>
  <c r="AU23" i="1"/>
  <c r="AT23" i="1"/>
  <c r="AS23" i="1"/>
  <c r="AR23" i="1"/>
  <c r="AQ23" i="1"/>
  <c r="AP23" i="1"/>
  <c r="AO23" i="1"/>
  <c r="C23" i="1"/>
  <c r="KQ22" i="1"/>
  <c r="KN22" i="1"/>
  <c r="KM22" i="1"/>
  <c r="KL22" i="1"/>
  <c r="KI22" i="1"/>
  <c r="KG22" i="1"/>
  <c r="KB22" i="1"/>
  <c r="JV22" i="1"/>
  <c r="JU22" i="1"/>
  <c r="JP22" i="1"/>
  <c r="JN22" i="1"/>
  <c r="JL22" i="1"/>
  <c r="JK22" i="1"/>
  <c r="KR22" i="1" s="1"/>
  <c r="JJ22" i="1"/>
  <c r="JH22" i="1"/>
  <c r="JG22" i="1"/>
  <c r="JF22" i="1"/>
  <c r="JE22" i="1"/>
  <c r="JD22" i="1"/>
  <c r="JC22" i="1"/>
  <c r="JB22" i="1"/>
  <c r="JA22" i="1"/>
  <c r="IZ22" i="1"/>
  <c r="IY22" i="1"/>
  <c r="IX22" i="1"/>
  <c r="IW22" i="1"/>
  <c r="IV22" i="1"/>
  <c r="IS22" i="1"/>
  <c r="IK22" i="1"/>
  <c r="IJ22" i="1"/>
  <c r="II22" i="1"/>
  <c r="ID22" i="1"/>
  <c r="IA22" i="1"/>
  <c r="HZ22" i="1"/>
  <c r="HT22" i="1"/>
  <c r="HS22" i="1"/>
  <c r="HR22" i="1"/>
  <c r="HQ22" i="1"/>
  <c r="HP22" i="1"/>
  <c r="HO22" i="1"/>
  <c r="HN22" i="1"/>
  <c r="HM22" i="1"/>
  <c r="FJ22" i="1"/>
  <c r="KF22" i="1" s="1"/>
  <c r="FG22" i="1"/>
  <c r="KC22" i="1" s="1"/>
  <c r="FF22" i="1"/>
  <c r="EZ22" i="1"/>
  <c r="EY22" i="1"/>
  <c r="EX22" i="1"/>
  <c r="JT22" i="1" s="1"/>
  <c r="EW22" i="1"/>
  <c r="JS22" i="1" s="1"/>
  <c r="EV22" i="1"/>
  <c r="EU22" i="1"/>
  <c r="JQ22" i="1" s="1"/>
  <c r="ET22" i="1"/>
  <c r="ES22" i="1"/>
  <c r="JO22" i="1" s="1"/>
  <c r="DH22" i="1"/>
  <c r="DE22" i="1"/>
  <c r="DD22" i="1"/>
  <c r="IR22" i="1" s="1"/>
  <c r="CX22" i="1"/>
  <c r="IL22" i="1" s="1"/>
  <c r="CW22" i="1"/>
  <c r="CV22" i="1"/>
  <c r="CU22" i="1"/>
  <c r="CT22" i="1"/>
  <c r="IH22" i="1" s="1"/>
  <c r="CS22" i="1"/>
  <c r="IG22" i="1" s="1"/>
  <c r="CR22" i="1"/>
  <c r="IF22" i="1" s="1"/>
  <c r="CQ22" i="1"/>
  <c r="IE22" i="1" s="1"/>
  <c r="BF22" i="1"/>
  <c r="KK22" i="1" s="1"/>
  <c r="BC22" i="1"/>
  <c r="BB22" i="1"/>
  <c r="AV22" i="1"/>
  <c r="AU22" i="1"/>
  <c r="AT22" i="1"/>
  <c r="AS22" i="1"/>
  <c r="AR22" i="1"/>
  <c r="AQ22" i="1"/>
  <c r="AP22" i="1"/>
  <c r="AO22" i="1"/>
  <c r="C22" i="1"/>
  <c r="KN21" i="1"/>
  <c r="KM21" i="1"/>
  <c r="KK21" i="1"/>
  <c r="KI21" i="1"/>
  <c r="KG21" i="1"/>
  <c r="KF21" i="1"/>
  <c r="KC21" i="1"/>
  <c r="KQ21" i="1" s="1"/>
  <c r="KB21" i="1"/>
  <c r="JV21" i="1"/>
  <c r="JS21" i="1"/>
  <c r="JQ21" i="1"/>
  <c r="JN21" i="1"/>
  <c r="JL21" i="1"/>
  <c r="JK21" i="1"/>
  <c r="KR21" i="1" s="1"/>
  <c r="JJ21" i="1"/>
  <c r="JH21" i="1"/>
  <c r="JG21" i="1"/>
  <c r="JF21" i="1"/>
  <c r="JE21" i="1"/>
  <c r="JD21" i="1"/>
  <c r="JC21" i="1"/>
  <c r="JB21" i="1"/>
  <c r="JA21" i="1"/>
  <c r="IZ21" i="1"/>
  <c r="IY21" i="1"/>
  <c r="IX21" i="1"/>
  <c r="IW21" i="1"/>
  <c r="IR21" i="1"/>
  <c r="IL21" i="1"/>
  <c r="IF21" i="1"/>
  <c r="ID21" i="1"/>
  <c r="IA21" i="1"/>
  <c r="HZ21" i="1"/>
  <c r="HT21" i="1"/>
  <c r="HS21" i="1"/>
  <c r="HR21" i="1"/>
  <c r="HQ21" i="1"/>
  <c r="HP21" i="1"/>
  <c r="HO21" i="1"/>
  <c r="HN21" i="1"/>
  <c r="HM21" i="1"/>
  <c r="FJ21" i="1"/>
  <c r="FG21" i="1"/>
  <c r="FF21" i="1"/>
  <c r="KL21" i="1" s="1"/>
  <c r="EZ21" i="1"/>
  <c r="EY21" i="1"/>
  <c r="EX21" i="1"/>
  <c r="EW21" i="1"/>
  <c r="EV21" i="1"/>
  <c r="JR21" i="1" s="1"/>
  <c r="EU21" i="1"/>
  <c r="ET21" i="1"/>
  <c r="ES21" i="1"/>
  <c r="DH21" i="1"/>
  <c r="IV21" i="1" s="1"/>
  <c r="DE21" i="1"/>
  <c r="IS21" i="1" s="1"/>
  <c r="DD21" i="1"/>
  <c r="CX21" i="1"/>
  <c r="CW21" i="1"/>
  <c r="CV21" i="1"/>
  <c r="IJ21" i="1" s="1"/>
  <c r="CU21" i="1"/>
  <c r="II21" i="1" s="1"/>
  <c r="CT21" i="1"/>
  <c r="IH21" i="1" s="1"/>
  <c r="CS21" i="1"/>
  <c r="IG21" i="1" s="1"/>
  <c r="CR21" i="1"/>
  <c r="CQ21" i="1"/>
  <c r="BF21" i="1"/>
  <c r="BC21" i="1"/>
  <c r="BB21" i="1"/>
  <c r="AV21" i="1"/>
  <c r="AU21" i="1"/>
  <c r="AT21" i="1"/>
  <c r="AS21" i="1"/>
  <c r="AR21" i="1"/>
  <c r="AQ21" i="1"/>
  <c r="AP21" i="1"/>
  <c r="AO21" i="1"/>
  <c r="C21" i="1"/>
  <c r="KN20" i="1"/>
  <c r="KM20" i="1"/>
  <c r="KK20" i="1"/>
  <c r="KI20" i="1"/>
  <c r="KG20" i="1"/>
  <c r="JP20" i="1"/>
  <c r="JN20" i="1"/>
  <c r="JL20" i="1"/>
  <c r="JK20" i="1"/>
  <c r="KR20" i="1" s="1"/>
  <c r="JJ20" i="1"/>
  <c r="JH20" i="1"/>
  <c r="JG20" i="1"/>
  <c r="JF20" i="1"/>
  <c r="JE20" i="1"/>
  <c r="JD20" i="1"/>
  <c r="JC20" i="1"/>
  <c r="JB20" i="1"/>
  <c r="JA20" i="1"/>
  <c r="IZ20" i="1"/>
  <c r="IY20" i="1"/>
  <c r="IX20" i="1"/>
  <c r="IW20" i="1"/>
  <c r="IE20" i="1"/>
  <c r="ID20" i="1"/>
  <c r="IA20" i="1"/>
  <c r="HZ20" i="1"/>
  <c r="HT20" i="1"/>
  <c r="HS20" i="1"/>
  <c r="HR20" i="1"/>
  <c r="HQ20" i="1"/>
  <c r="HP20" i="1"/>
  <c r="HO20" i="1"/>
  <c r="HN20" i="1"/>
  <c r="HM20" i="1"/>
  <c r="FJ20" i="1"/>
  <c r="FG20" i="1"/>
  <c r="FF20" i="1"/>
  <c r="EZ20" i="1"/>
  <c r="EY20" i="1"/>
  <c r="EX20" i="1"/>
  <c r="EW20" i="1"/>
  <c r="EV20" i="1"/>
  <c r="EU20" i="1"/>
  <c r="ET20" i="1"/>
  <c r="ES20" i="1"/>
  <c r="JO20" i="1" s="1"/>
  <c r="DH20" i="1"/>
  <c r="IV20" i="1" s="1"/>
  <c r="DE20" i="1"/>
  <c r="DD20" i="1"/>
  <c r="IR20" i="1" s="1"/>
  <c r="CX20" i="1"/>
  <c r="IL20" i="1" s="1"/>
  <c r="CW20" i="1"/>
  <c r="IK20" i="1" s="1"/>
  <c r="CV20" i="1"/>
  <c r="CU20" i="1"/>
  <c r="II20" i="1" s="1"/>
  <c r="CT20" i="1"/>
  <c r="CS20" i="1"/>
  <c r="CR20" i="1"/>
  <c r="IF20" i="1" s="1"/>
  <c r="CQ20" i="1"/>
  <c r="BF20" i="1"/>
  <c r="BC20" i="1"/>
  <c r="BB20" i="1"/>
  <c r="AV20" i="1"/>
  <c r="AU20" i="1"/>
  <c r="AT20" i="1"/>
  <c r="AS20" i="1"/>
  <c r="AR20" i="1"/>
  <c r="AQ20" i="1"/>
  <c r="AP20" i="1"/>
  <c r="AO20" i="1"/>
  <c r="C20" i="1"/>
  <c r="KN19" i="1"/>
  <c r="KM19" i="1"/>
  <c r="JF19" i="1"/>
  <c r="IZ19" i="1"/>
  <c r="IY19" i="1"/>
  <c r="IX19" i="1"/>
  <c r="IW19" i="1"/>
  <c r="IH19" i="1"/>
  <c r="IA19" i="1"/>
  <c r="HZ19" i="1"/>
  <c r="HV19" i="1"/>
  <c r="HU19" i="1"/>
  <c r="HQ19" i="1"/>
  <c r="HP19" i="1"/>
  <c r="HO19" i="1"/>
  <c r="HN19" i="1"/>
  <c r="HM19" i="1"/>
  <c r="HD19" i="1"/>
  <c r="GZ19" i="1"/>
  <c r="GT19" i="1"/>
  <c r="GR19" i="1"/>
  <c r="GN19" i="1"/>
  <c r="GM19" i="1"/>
  <c r="GL19" i="1"/>
  <c r="GI19" i="1"/>
  <c r="GH19" i="1"/>
  <c r="GB19" i="1"/>
  <c r="FZ19" i="1"/>
  <c r="FY19" i="1"/>
  <c r="FC19" i="1"/>
  <c r="FA19" i="1"/>
  <c r="EV19" i="1"/>
  <c r="JR19" i="1" s="1"/>
  <c r="EU19" i="1"/>
  <c r="JQ19" i="1" s="1"/>
  <c r="ET19" i="1"/>
  <c r="JP19" i="1" s="1"/>
  <c r="ES19" i="1"/>
  <c r="JO19" i="1" s="1"/>
  <c r="ER19" i="1"/>
  <c r="EO19" i="1"/>
  <c r="EN19" i="1"/>
  <c r="JJ19" i="1" s="1"/>
  <c r="EL19" i="1"/>
  <c r="EP19" i="1" s="1"/>
  <c r="EK19" i="1"/>
  <c r="EJ19" i="1"/>
  <c r="EI19" i="1"/>
  <c r="EH19" i="1"/>
  <c r="EG19" i="1"/>
  <c r="EF19" i="1"/>
  <c r="EE19" i="1"/>
  <c r="DW19" i="1"/>
  <c r="FG19" i="1" s="1"/>
  <c r="DV19" i="1"/>
  <c r="DT19" i="1"/>
  <c r="DS19" i="1"/>
  <c r="DR19" i="1"/>
  <c r="FB19" i="1" s="1"/>
  <c r="DQ19" i="1"/>
  <c r="DP19" i="1"/>
  <c r="EZ19" i="1" s="1"/>
  <c r="DO19" i="1"/>
  <c r="EY19" i="1" s="1"/>
  <c r="DN19" i="1"/>
  <c r="EX19" i="1" s="1"/>
  <c r="DM19" i="1"/>
  <c r="EW19" i="1" s="1"/>
  <c r="DE19" i="1"/>
  <c r="IS19" i="1" s="1"/>
  <c r="KP19" i="1" s="1"/>
  <c r="CT19" i="1"/>
  <c r="CS19" i="1"/>
  <c r="IG19" i="1" s="1"/>
  <c r="CR19" i="1"/>
  <c r="IF19" i="1" s="1"/>
  <c r="CQ19" i="1"/>
  <c r="IE19" i="1" s="1"/>
  <c r="CM19" i="1"/>
  <c r="CJ19" i="1"/>
  <c r="CI19" i="1"/>
  <c r="CH19" i="1"/>
  <c r="CG19" i="1"/>
  <c r="CF19" i="1"/>
  <c r="BP19" i="1"/>
  <c r="BL19" i="1"/>
  <c r="BD19" i="1"/>
  <c r="BC19" i="1"/>
  <c r="BB19" i="1"/>
  <c r="AR19" i="1"/>
  <c r="AQ19" i="1"/>
  <c r="AP19" i="1"/>
  <c r="AO19" i="1"/>
  <c r="AL19" i="1"/>
  <c r="AK19" i="1"/>
  <c r="AJ19" i="1"/>
  <c r="AF19" i="1"/>
  <c r="AE19" i="1"/>
  <c r="AB19" i="1"/>
  <c r="AA19" i="1"/>
  <c r="P19" i="1"/>
  <c r="V19" i="1" s="1"/>
  <c r="KG19" i="1" s="1"/>
  <c r="KH19" i="1" s="1"/>
  <c r="O19" i="1"/>
  <c r="N19" i="1"/>
  <c r="J19" i="1"/>
  <c r="C19" i="1"/>
  <c r="KP18" i="1"/>
  <c r="KM18" i="1"/>
  <c r="KG18" i="1"/>
  <c r="KH18" i="1" s="1"/>
  <c r="KC18" i="1"/>
  <c r="KT18" i="1" s="1"/>
  <c r="JB18" i="1"/>
  <c r="JA18" i="1"/>
  <c r="IY18" i="1"/>
  <c r="IX18" i="1"/>
  <c r="IW18" i="1"/>
  <c r="IS18" i="1"/>
  <c r="IH18" i="1"/>
  <c r="IG18" i="1"/>
  <c r="IA18" i="1"/>
  <c r="HZ18" i="1"/>
  <c r="HR18" i="1"/>
  <c r="HQ18" i="1"/>
  <c r="HP18" i="1"/>
  <c r="HO18" i="1"/>
  <c r="HN18" i="1"/>
  <c r="HM18" i="1"/>
  <c r="HE18" i="1"/>
  <c r="HW18" i="1" s="1"/>
  <c r="HD18" i="1"/>
  <c r="HV18" i="1" s="1"/>
  <c r="HC18" i="1"/>
  <c r="HB18" i="1"/>
  <c r="HT18" i="1" s="1"/>
  <c r="HA18" i="1"/>
  <c r="GZ18" i="1"/>
  <c r="GY18" i="1" s="1"/>
  <c r="GK18" i="1"/>
  <c r="GN18" i="1" s="1"/>
  <c r="GI18" i="1"/>
  <c r="GG18" i="1"/>
  <c r="GB18" i="1"/>
  <c r="FZ18" i="1"/>
  <c r="FY18" i="1"/>
  <c r="FH18" i="1"/>
  <c r="FD18" i="1"/>
  <c r="EY18" i="1"/>
  <c r="EX18" i="1"/>
  <c r="EW18" i="1"/>
  <c r="EU18" i="1"/>
  <c r="ET18" i="1"/>
  <c r="ES18" i="1"/>
  <c r="EP18" i="1"/>
  <c r="EN18" i="1"/>
  <c r="EL18" i="1"/>
  <c r="EK18" i="1"/>
  <c r="EJ18" i="1"/>
  <c r="EI18" i="1"/>
  <c r="FA18" i="1" s="1"/>
  <c r="EH18" i="1"/>
  <c r="EO18" i="1" s="1"/>
  <c r="JK18" i="1" s="1"/>
  <c r="KR18" i="1" s="1"/>
  <c r="EG18" i="1"/>
  <c r="JC18" i="1" s="1"/>
  <c r="DX18" i="1"/>
  <c r="DZ18" i="1" s="1"/>
  <c r="DW18" i="1"/>
  <c r="FG18" i="1" s="1"/>
  <c r="DV18" i="1"/>
  <c r="FF18" i="1" s="1"/>
  <c r="DT18" i="1"/>
  <c r="DS18" i="1"/>
  <c r="DR18" i="1"/>
  <c r="DQ18" i="1"/>
  <c r="DP18" i="1"/>
  <c r="EZ18" i="1" s="1"/>
  <c r="DO18" i="1"/>
  <c r="DL18" i="1"/>
  <c r="DA18" i="1"/>
  <c r="IO18" i="1" s="1"/>
  <c r="CT18" i="1"/>
  <c r="CM18" i="1"/>
  <c r="DE18" i="1" s="1"/>
  <c r="CL18" i="1"/>
  <c r="CJ18" i="1"/>
  <c r="CI18" i="1" s="1"/>
  <c r="CH18" i="1"/>
  <c r="CF18" i="1"/>
  <c r="CA18" i="1"/>
  <c r="CS18" i="1" s="1"/>
  <c r="BZ18" i="1"/>
  <c r="CR18" i="1" s="1"/>
  <c r="JP18" i="1" s="1"/>
  <c r="BY18" i="1"/>
  <c r="CQ18" i="1" s="1"/>
  <c r="IE18" i="1" s="1"/>
  <c r="BX18" i="1"/>
  <c r="BV18" i="1"/>
  <c r="BT18" i="1"/>
  <c r="BN18" i="1"/>
  <c r="BC18" i="1"/>
  <c r="AY18" i="1"/>
  <c r="AX18" i="1"/>
  <c r="AW18" i="1"/>
  <c r="AU18" i="1"/>
  <c r="AT18" i="1"/>
  <c r="AS18" i="1"/>
  <c r="AR18" i="1"/>
  <c r="AQ18" i="1"/>
  <c r="AP18" i="1"/>
  <c r="AO18" i="1"/>
  <c r="AJ18" i="1"/>
  <c r="AH18" i="1"/>
  <c r="AN18" i="1" s="1"/>
  <c r="AD18" i="1"/>
  <c r="V18" i="1"/>
  <c r="T18" i="1"/>
  <c r="R18" i="1"/>
  <c r="L18" i="1"/>
  <c r="C18" i="1"/>
  <c r="KM17" i="1"/>
  <c r="KG17" i="1"/>
  <c r="KH17" i="1" s="1"/>
  <c r="KC17" i="1"/>
  <c r="KT17" i="1" s="1"/>
  <c r="JK17" i="1"/>
  <c r="KR17" i="1" s="1"/>
  <c r="JG17" i="1"/>
  <c r="JF17" i="1"/>
  <c r="JE17" i="1"/>
  <c r="JD17" i="1"/>
  <c r="JC17" i="1"/>
  <c r="JB17" i="1"/>
  <c r="JA17" i="1"/>
  <c r="IY17" i="1"/>
  <c r="IW17" i="1"/>
  <c r="IR17" i="1"/>
  <c r="IF17" i="1"/>
  <c r="IA17" i="1"/>
  <c r="HX17" i="1"/>
  <c r="HW17" i="1"/>
  <c r="HU17" i="1"/>
  <c r="HQ17" i="1"/>
  <c r="HM17" i="1"/>
  <c r="HJ17" i="1"/>
  <c r="HE17" i="1"/>
  <c r="HF17" i="1" s="1"/>
  <c r="HD17" i="1"/>
  <c r="HA17" i="1"/>
  <c r="GZ17" i="1"/>
  <c r="GV17" i="1"/>
  <c r="GW17" i="1" s="1"/>
  <c r="GX17" i="1" s="1"/>
  <c r="HH17" i="1" s="1"/>
  <c r="HZ17" i="1" s="1"/>
  <c r="GR17" i="1"/>
  <c r="IB17" i="1" s="1"/>
  <c r="GQ17" i="1"/>
  <c r="GP17" i="1"/>
  <c r="GM17" i="1"/>
  <c r="GN17" i="1" s="1"/>
  <c r="GL17" i="1"/>
  <c r="HV17" i="1" s="1"/>
  <c r="GI17" i="1"/>
  <c r="HS17" i="1" s="1"/>
  <c r="GH17" i="1"/>
  <c r="GE17" i="1"/>
  <c r="GF17" i="1" s="1"/>
  <c r="GD17" i="1"/>
  <c r="GB17" i="1"/>
  <c r="FZ17" i="1"/>
  <c r="FY17" i="1"/>
  <c r="FX17" i="1"/>
  <c r="FH17" i="1"/>
  <c r="FF17" i="1"/>
  <c r="KB17" i="1" s="1"/>
  <c r="FB17" i="1"/>
  <c r="EZ17" i="1"/>
  <c r="JV17" i="1" s="1"/>
  <c r="EY17" i="1"/>
  <c r="JU17" i="1" s="1"/>
  <c r="EV17" i="1"/>
  <c r="EU17" i="1"/>
  <c r="ES17" i="1"/>
  <c r="JO17" i="1" s="1"/>
  <c r="EP17" i="1"/>
  <c r="EN17" i="1"/>
  <c r="JJ17" i="1" s="1"/>
  <c r="EL17" i="1"/>
  <c r="JH17" i="1" s="1"/>
  <c r="EK17" i="1"/>
  <c r="EJ17" i="1"/>
  <c r="EI17" i="1"/>
  <c r="EH17" i="1"/>
  <c r="EO17" i="1" s="1"/>
  <c r="EG17" i="1"/>
  <c r="EF17" i="1"/>
  <c r="EE17" i="1"/>
  <c r="ED17" i="1"/>
  <c r="IZ17" i="1" s="1"/>
  <c r="EC17" i="1"/>
  <c r="EB17" i="1"/>
  <c r="EA17" i="1"/>
  <c r="DZ17" i="1"/>
  <c r="DX17" i="1"/>
  <c r="DW17" i="1"/>
  <c r="FG17" i="1" s="1"/>
  <c r="DV17" i="1"/>
  <c r="DT17" i="1"/>
  <c r="DS17" i="1"/>
  <c r="FC17" i="1" s="1"/>
  <c r="DQ17" i="1"/>
  <c r="FA17" i="1" s="1"/>
  <c r="DP17" i="1"/>
  <c r="DO17" i="1"/>
  <c r="DN17" i="1"/>
  <c r="EX17" i="1" s="1"/>
  <c r="JT17" i="1" s="1"/>
  <c r="DM17" i="1"/>
  <c r="EW17" i="1" s="1"/>
  <c r="JS17" i="1" s="1"/>
  <c r="DL17" i="1"/>
  <c r="DK17" i="1"/>
  <c r="DJ17" i="1"/>
  <c r="DI17" i="1"/>
  <c r="CV17" i="1"/>
  <c r="IJ17" i="1" s="1"/>
  <c r="CU17" i="1"/>
  <c r="II17" i="1" s="1"/>
  <c r="CT17" i="1"/>
  <c r="IH17" i="1" s="1"/>
  <c r="CS17" i="1"/>
  <c r="IG17" i="1" s="1"/>
  <c r="CR17" i="1"/>
  <c r="CQ17" i="1"/>
  <c r="IE17" i="1" s="1"/>
  <c r="CJ17" i="1"/>
  <c r="DB17" i="1" s="1"/>
  <c r="CF17" i="1"/>
  <c r="CX17" i="1" s="1"/>
  <c r="CD17" i="1"/>
  <c r="CE17" i="1" s="1"/>
  <c r="CW17" i="1" s="1"/>
  <c r="IK17" i="1" s="1"/>
  <c r="CC17" i="1"/>
  <c r="CB17" i="1"/>
  <c r="BZ17" i="1"/>
  <c r="CA17" i="1" s="1"/>
  <c r="BY17" i="1"/>
  <c r="BX17" i="1"/>
  <c r="BV17" i="1"/>
  <c r="BT17" i="1"/>
  <c r="BR17" i="1"/>
  <c r="BN17" i="1"/>
  <c r="IL17" i="1" s="1"/>
  <c r="BC17" i="1"/>
  <c r="BB17" i="1"/>
  <c r="AZ17" i="1"/>
  <c r="AY17" i="1"/>
  <c r="AX17" i="1"/>
  <c r="AW17" i="1"/>
  <c r="AV17" i="1"/>
  <c r="AU17" i="1"/>
  <c r="AT17" i="1"/>
  <c r="AS17" i="1"/>
  <c r="AR17" i="1"/>
  <c r="AQ17" i="1"/>
  <c r="AP17" i="1"/>
  <c r="AO17" i="1"/>
  <c r="AN17" i="1"/>
  <c r="BF17" i="1" s="1"/>
  <c r="KK17" i="1" s="1"/>
  <c r="AL17" i="1"/>
  <c r="JL17" i="1" s="1"/>
  <c r="AJ17" i="1"/>
  <c r="DD17" i="1" s="1"/>
  <c r="AB17" i="1"/>
  <c r="AK17" i="1" s="1"/>
  <c r="DE17" i="1" s="1"/>
  <c r="IS17" i="1" s="1"/>
  <c r="KP17" i="1" s="1"/>
  <c r="V17" i="1"/>
  <c r="T17" i="1"/>
  <c r="BD17" i="1" s="1"/>
  <c r="R17" i="1"/>
  <c r="L17" i="1"/>
  <c r="C17" i="1"/>
  <c r="KR16" i="1"/>
  <c r="KM16" i="1"/>
  <c r="JJ16" i="1"/>
  <c r="JE16" i="1"/>
  <c r="JC16" i="1"/>
  <c r="JB16" i="1"/>
  <c r="JA16" i="1"/>
  <c r="IZ16" i="1"/>
  <c r="IY16" i="1"/>
  <c r="IT16" i="1"/>
  <c r="IO16" i="1"/>
  <c r="IG16" i="1"/>
  <c r="IB16" i="1"/>
  <c r="IA16" i="1"/>
  <c r="HZ16" i="1"/>
  <c r="HW16" i="1"/>
  <c r="HU16" i="1"/>
  <c r="HS16" i="1"/>
  <c r="HR16" i="1"/>
  <c r="HQ16" i="1"/>
  <c r="HP16" i="1"/>
  <c r="HO16" i="1"/>
  <c r="HN16" i="1"/>
  <c r="HM16" i="1"/>
  <c r="HH16" i="1"/>
  <c r="HD16" i="1"/>
  <c r="HB16" i="1"/>
  <c r="HT16" i="1" s="1"/>
  <c r="GP16" i="1"/>
  <c r="GN16" i="1"/>
  <c r="GL16" i="1"/>
  <c r="GJ16" i="1"/>
  <c r="GB16" i="1"/>
  <c r="FZ16" i="1"/>
  <c r="FY16" i="1"/>
  <c r="FX16" i="1"/>
  <c r="FA16" i="1"/>
  <c r="EZ16" i="1"/>
  <c r="EO16" i="1"/>
  <c r="JK16" i="1" s="1"/>
  <c r="EN16" i="1"/>
  <c r="EL16" i="1"/>
  <c r="ER16" i="1" s="1"/>
  <c r="EK16" i="1"/>
  <c r="EJ16" i="1"/>
  <c r="JF16" i="1" s="1"/>
  <c r="EI16" i="1"/>
  <c r="EH16" i="1"/>
  <c r="EG16" i="1"/>
  <c r="EF16" i="1"/>
  <c r="EE16" i="1"/>
  <c r="ED16" i="1"/>
  <c r="EC16" i="1"/>
  <c r="EB16" i="1"/>
  <c r="IX16" i="1" s="1"/>
  <c r="EA16" i="1"/>
  <c r="ES16" i="1" s="1"/>
  <c r="DX16" i="1"/>
  <c r="DW16" i="1"/>
  <c r="FG16" i="1" s="1"/>
  <c r="DT16" i="1"/>
  <c r="DS16" i="1"/>
  <c r="DR16" i="1"/>
  <c r="DQ16" i="1"/>
  <c r="DP16" i="1"/>
  <c r="DO16" i="1"/>
  <c r="EY16" i="1" s="1"/>
  <c r="DN16" i="1"/>
  <c r="EX16" i="1" s="1"/>
  <c r="DM16" i="1"/>
  <c r="EW16" i="1" s="1"/>
  <c r="DL16" i="1"/>
  <c r="DK16" i="1"/>
  <c r="EU16" i="1" s="1"/>
  <c r="JQ16" i="1" s="1"/>
  <c r="DJ16" i="1"/>
  <c r="DI16" i="1"/>
  <c r="DA16" i="1"/>
  <c r="CY16" i="1"/>
  <c r="IM16" i="1" s="1"/>
  <c r="CW16" i="1"/>
  <c r="IK16" i="1" s="1"/>
  <c r="CV16" i="1"/>
  <c r="IJ16" i="1" s="1"/>
  <c r="CU16" i="1"/>
  <c r="II16" i="1" s="1"/>
  <c r="CS16" i="1"/>
  <c r="CR16" i="1"/>
  <c r="IF16" i="1" s="1"/>
  <c r="CQ16" i="1"/>
  <c r="IE16" i="1" s="1"/>
  <c r="CN16" i="1"/>
  <c r="CM16" i="1"/>
  <c r="CL16" i="1"/>
  <c r="CB16" i="1" s="1"/>
  <c r="CT16" i="1" s="1"/>
  <c r="IH16" i="1" s="1"/>
  <c r="CJ16" i="1"/>
  <c r="CI16" i="1"/>
  <c r="CP16" i="1" s="1"/>
  <c r="CG16" i="1"/>
  <c r="CF16" i="1"/>
  <c r="CE16" i="1"/>
  <c r="CD16" i="1"/>
  <c r="CC16" i="1"/>
  <c r="CA16" i="1"/>
  <c r="BZ16" i="1"/>
  <c r="BY16" i="1"/>
  <c r="BX16" i="1"/>
  <c r="BT16" i="1"/>
  <c r="BR16" i="1"/>
  <c r="BP16" i="1"/>
  <c r="BN16" i="1"/>
  <c r="BD16" i="1"/>
  <c r="AY16" i="1"/>
  <c r="AX16" i="1"/>
  <c r="AW16" i="1"/>
  <c r="AU16" i="1"/>
  <c r="AT16" i="1"/>
  <c r="AS16" i="1"/>
  <c r="AR16" i="1"/>
  <c r="AQ16" i="1"/>
  <c r="AP16" i="1"/>
  <c r="AO16" i="1"/>
  <c r="AL16" i="1"/>
  <c r="DF16" i="1" s="1"/>
  <c r="AK16" i="1"/>
  <c r="AJ16" i="1"/>
  <c r="AH16" i="1"/>
  <c r="AZ16" i="1" s="1"/>
  <c r="AF16" i="1"/>
  <c r="CZ16" i="1" s="1"/>
  <c r="IN16" i="1" s="1"/>
  <c r="AE16" i="1"/>
  <c r="AD16" i="1"/>
  <c r="V16" i="1"/>
  <c r="KG16" i="1" s="1"/>
  <c r="KH16" i="1" s="1"/>
  <c r="R16" i="1"/>
  <c r="N16" i="1"/>
  <c r="P16" i="1" s="1"/>
  <c r="L16" i="1"/>
  <c r="C16" i="1"/>
  <c r="KN15" i="1"/>
  <c r="KM15" i="1"/>
  <c r="KJ15" i="1"/>
  <c r="KI15" i="1"/>
  <c r="KH15" i="1"/>
  <c r="KG15" i="1"/>
  <c r="JV15" i="1"/>
  <c r="JU15" i="1"/>
  <c r="JQ15" i="1"/>
  <c r="JK15" i="1"/>
  <c r="KR15" i="1" s="1"/>
  <c r="JJ15" i="1"/>
  <c r="JH15" i="1"/>
  <c r="JG15" i="1"/>
  <c r="JF15" i="1"/>
  <c r="JE15" i="1"/>
  <c r="JD15" i="1"/>
  <c r="JC15" i="1"/>
  <c r="JB15" i="1"/>
  <c r="JA15" i="1"/>
  <c r="IZ15" i="1"/>
  <c r="IY15" i="1"/>
  <c r="IX15" i="1"/>
  <c r="IW15" i="1"/>
  <c r="IT15" i="1"/>
  <c r="IK15" i="1"/>
  <c r="IJ15" i="1"/>
  <c r="II15" i="1"/>
  <c r="IH15" i="1"/>
  <c r="IE15" i="1"/>
  <c r="IA15" i="1"/>
  <c r="HZ15" i="1"/>
  <c r="HT15" i="1"/>
  <c r="HS15" i="1"/>
  <c r="HR15" i="1"/>
  <c r="HQ15" i="1"/>
  <c r="HP15" i="1"/>
  <c r="HO15" i="1"/>
  <c r="HN15" i="1"/>
  <c r="HM15" i="1"/>
  <c r="HJ15" i="1"/>
  <c r="GT15" i="1"/>
  <c r="GB15" i="1"/>
  <c r="FG15" i="1"/>
  <c r="KC15" i="1" s="1"/>
  <c r="KT15" i="1" s="1"/>
  <c r="FF15" i="1"/>
  <c r="EZ15" i="1"/>
  <c r="EY15" i="1"/>
  <c r="EX15" i="1"/>
  <c r="JT15" i="1" s="1"/>
  <c r="EW15" i="1"/>
  <c r="JS15" i="1" s="1"/>
  <c r="EV15" i="1"/>
  <c r="JR15" i="1" s="1"/>
  <c r="EU15" i="1"/>
  <c r="ET15" i="1"/>
  <c r="JP15" i="1" s="1"/>
  <c r="ES15" i="1"/>
  <c r="JO15" i="1" s="1"/>
  <c r="ER15" i="1"/>
  <c r="JN15" i="1" s="1"/>
  <c r="KQ15" i="1" s="1"/>
  <c r="EP15" i="1"/>
  <c r="JL15" i="1" s="1"/>
  <c r="DX15" i="1"/>
  <c r="DF15" i="1"/>
  <c r="DE15" i="1"/>
  <c r="IS15" i="1" s="1"/>
  <c r="KP15" i="1" s="1"/>
  <c r="DD15" i="1"/>
  <c r="IR15" i="1" s="1"/>
  <c r="CX15" i="1"/>
  <c r="IL15" i="1" s="1"/>
  <c r="CW15" i="1"/>
  <c r="CV15" i="1"/>
  <c r="CU15" i="1"/>
  <c r="CT15" i="1"/>
  <c r="CS15" i="1"/>
  <c r="IG15" i="1" s="1"/>
  <c r="CR15" i="1"/>
  <c r="IF15" i="1" s="1"/>
  <c r="CQ15" i="1"/>
  <c r="CP15" i="1"/>
  <c r="DH15" i="1" s="1"/>
  <c r="BX15" i="1"/>
  <c r="IV15" i="1" s="1"/>
  <c r="KO15" i="1" s="1"/>
  <c r="BF15" i="1"/>
  <c r="KK15" i="1" s="1"/>
  <c r="BD15" i="1"/>
  <c r="BC15" i="1"/>
  <c r="BB15" i="1"/>
  <c r="AV15" i="1"/>
  <c r="AU15" i="1"/>
  <c r="AT15" i="1"/>
  <c r="AS15" i="1"/>
  <c r="AR15" i="1"/>
  <c r="AQ15" i="1"/>
  <c r="AP15" i="1"/>
  <c r="AO15" i="1"/>
  <c r="AN15" i="1"/>
  <c r="V15" i="1"/>
  <c r="C15" i="1"/>
  <c r="KN14" i="1"/>
  <c r="JQ14" i="1"/>
  <c r="JE14" i="1"/>
  <c r="IY14" i="1"/>
  <c r="IX14" i="1"/>
  <c r="IW14" i="1"/>
  <c r="IR14" i="1"/>
  <c r="IM14" i="1"/>
  <c r="IG14" i="1"/>
  <c r="IF14" i="1"/>
  <c r="IB14" i="1"/>
  <c r="IA14" i="1"/>
  <c r="HZ14" i="1"/>
  <c r="HT14" i="1"/>
  <c r="HS14" i="1"/>
  <c r="HR14" i="1"/>
  <c r="HQ14" i="1"/>
  <c r="HP14" i="1"/>
  <c r="HO14" i="1"/>
  <c r="HN14" i="1"/>
  <c r="HM14" i="1"/>
  <c r="HL14" i="1"/>
  <c r="GT14" i="1"/>
  <c r="ID14" i="1" s="1"/>
  <c r="GB14" i="1"/>
  <c r="KM14" i="1" s="1"/>
  <c r="FZ14" i="1"/>
  <c r="FY14" i="1"/>
  <c r="FP14" i="1"/>
  <c r="FO14" i="1" s="1"/>
  <c r="EU14" i="1"/>
  <c r="ET14" i="1"/>
  <c r="JP14" i="1" s="1"/>
  <c r="ES14" i="1"/>
  <c r="JO14" i="1" s="1"/>
  <c r="EO14" i="1"/>
  <c r="JK14" i="1" s="1"/>
  <c r="KR14" i="1" s="1"/>
  <c r="EN14" i="1"/>
  <c r="EL14" i="1"/>
  <c r="EK14" i="1"/>
  <c r="JG14" i="1" s="1"/>
  <c r="EJ14" i="1"/>
  <c r="EI14" i="1"/>
  <c r="EH14" i="1"/>
  <c r="EG14" i="1"/>
  <c r="DV14" i="1"/>
  <c r="DL14" i="1" s="1"/>
  <c r="DT14" i="1"/>
  <c r="DS14" i="1"/>
  <c r="FC14" i="1" s="1"/>
  <c r="DR14" i="1"/>
  <c r="DQ14" i="1"/>
  <c r="DE14" i="1"/>
  <c r="DD14" i="1"/>
  <c r="CY14" i="1"/>
  <c r="CS14" i="1"/>
  <c r="CR14" i="1"/>
  <c r="CQ14" i="1"/>
  <c r="IE14" i="1" s="1"/>
  <c r="CH14" i="1"/>
  <c r="CE14" i="1"/>
  <c r="DO14" i="1" s="1"/>
  <c r="EY14" i="1" s="1"/>
  <c r="CB14" i="1"/>
  <c r="BT14" i="1"/>
  <c r="BP14" i="1"/>
  <c r="BN14" i="1"/>
  <c r="BM14" i="1"/>
  <c r="AX14" i="1"/>
  <c r="AW14" i="1"/>
  <c r="AQ14" i="1"/>
  <c r="AP14" i="1"/>
  <c r="AO14" i="1"/>
  <c r="AK14" i="1"/>
  <c r="BC14" i="1" s="1"/>
  <c r="AJ14" i="1"/>
  <c r="AG14" i="1"/>
  <c r="AF14" i="1"/>
  <c r="AE14" i="1"/>
  <c r="AC14" i="1"/>
  <c r="CW14" i="1" s="1"/>
  <c r="JU14" i="1" s="1"/>
  <c r="AB14" i="1"/>
  <c r="P14" i="1"/>
  <c r="T14" i="1" s="1"/>
  <c r="O14" i="1"/>
  <c r="N14" i="1"/>
  <c r="K14" i="1"/>
  <c r="AU14" i="1" s="1"/>
  <c r="J14" i="1"/>
  <c r="I14" i="1"/>
  <c r="L14" i="1" s="1"/>
  <c r="H14" i="1"/>
  <c r="C14" i="1"/>
  <c r="KM13" i="1"/>
  <c r="JF13" i="1"/>
  <c r="JE13" i="1"/>
  <c r="JD13" i="1"/>
  <c r="JC13" i="1"/>
  <c r="JB13" i="1"/>
  <c r="JA13" i="1"/>
  <c r="IZ13" i="1"/>
  <c r="IY13" i="1"/>
  <c r="IX13" i="1"/>
  <c r="IW13" i="1"/>
  <c r="IR13" i="1"/>
  <c r="IJ13" i="1"/>
  <c r="II13" i="1"/>
  <c r="IH13" i="1"/>
  <c r="IE13" i="1"/>
  <c r="IA13" i="1"/>
  <c r="HZ13" i="1"/>
  <c r="HV13" i="1"/>
  <c r="HU13" i="1"/>
  <c r="HS13" i="1"/>
  <c r="HQ13" i="1"/>
  <c r="HP13" i="1"/>
  <c r="HO13" i="1"/>
  <c r="HN13" i="1"/>
  <c r="HM13" i="1"/>
  <c r="HD13" i="1"/>
  <c r="HE13" i="1" s="1"/>
  <c r="HB13" i="1"/>
  <c r="HA13" i="1"/>
  <c r="GZ13" i="1"/>
  <c r="GL13" i="1"/>
  <c r="GJ13" i="1"/>
  <c r="HT13" i="1" s="1"/>
  <c r="GI13" i="1"/>
  <c r="GH13" i="1"/>
  <c r="GB13" i="1"/>
  <c r="FZ13" i="1"/>
  <c r="FG13" i="1"/>
  <c r="FB13" i="1"/>
  <c r="FA13" i="1"/>
  <c r="JW13" i="1" s="1"/>
  <c r="EX13" i="1"/>
  <c r="JT13" i="1" s="1"/>
  <c r="EW13" i="1"/>
  <c r="JS13" i="1" s="1"/>
  <c r="EV13" i="1"/>
  <c r="JR13" i="1" s="1"/>
  <c r="EU13" i="1"/>
  <c r="JQ13" i="1" s="1"/>
  <c r="ET13" i="1"/>
  <c r="ES13" i="1"/>
  <c r="JO13" i="1" s="1"/>
  <c r="EO13" i="1"/>
  <c r="EN13" i="1"/>
  <c r="JJ13" i="1" s="1"/>
  <c r="EL13" i="1"/>
  <c r="EK13" i="1"/>
  <c r="JG13" i="1" s="1"/>
  <c r="EJ13" i="1"/>
  <c r="EI13" i="1"/>
  <c r="DZ13" i="1"/>
  <c r="DX13" i="1"/>
  <c r="DW13" i="1"/>
  <c r="DV13" i="1"/>
  <c r="FF13" i="1" s="1"/>
  <c r="KB13" i="1" s="1"/>
  <c r="DT13" i="1"/>
  <c r="FD13" i="1" s="1"/>
  <c r="DS13" i="1"/>
  <c r="FC13" i="1" s="1"/>
  <c r="DR13" i="1"/>
  <c r="DQ13" i="1"/>
  <c r="DP13" i="1"/>
  <c r="DO13" i="1"/>
  <c r="DD13" i="1"/>
  <c r="CV13" i="1"/>
  <c r="CU13" i="1"/>
  <c r="CT13" i="1"/>
  <c r="CS13" i="1"/>
  <c r="IG13" i="1" s="1"/>
  <c r="CR13" i="1"/>
  <c r="IF13" i="1" s="1"/>
  <c r="CQ13" i="1"/>
  <c r="CI13" i="1"/>
  <c r="CH13" i="1"/>
  <c r="CG13" i="1"/>
  <c r="CY13" i="1" s="1"/>
  <c r="IM13" i="1" s="1"/>
  <c r="CF13" i="1"/>
  <c r="CX13" i="1" s="1"/>
  <c r="IL13" i="1" s="1"/>
  <c r="CE13" i="1"/>
  <c r="CW13" i="1" s="1"/>
  <c r="IK13" i="1" s="1"/>
  <c r="BX13" i="1"/>
  <c r="BV13" i="1"/>
  <c r="BR13" i="1"/>
  <c r="BQ13" i="1"/>
  <c r="BP13" i="1"/>
  <c r="BO13" i="1"/>
  <c r="BN13" i="1"/>
  <c r="BM13" i="1"/>
  <c r="BB13" i="1"/>
  <c r="AV13" i="1"/>
  <c r="AU13" i="1"/>
  <c r="AT13" i="1"/>
  <c r="AS13" i="1"/>
  <c r="AR13" i="1"/>
  <c r="AQ13" i="1"/>
  <c r="AP13" i="1"/>
  <c r="AO13" i="1"/>
  <c r="AL13" i="1"/>
  <c r="AK13" i="1"/>
  <c r="DE13" i="1" s="1"/>
  <c r="IS13" i="1" s="1"/>
  <c r="KP13" i="1" s="1"/>
  <c r="AH13" i="1"/>
  <c r="AG13" i="1"/>
  <c r="AF13" i="1"/>
  <c r="AE13" i="1"/>
  <c r="AD13" i="1"/>
  <c r="AC13" i="1"/>
  <c r="P13" i="1"/>
  <c r="O13" i="1"/>
  <c r="N13" i="1"/>
  <c r="AX13" i="1" s="1"/>
  <c r="M13" i="1"/>
  <c r="L13" i="1"/>
  <c r="K13" i="1"/>
  <c r="C13" i="1"/>
  <c r="KN12" i="1"/>
  <c r="KM12" i="1"/>
  <c r="KG12" i="1"/>
  <c r="KH12" i="1" s="1"/>
  <c r="JS12" i="1"/>
  <c r="JN12" i="1"/>
  <c r="KQ12" i="1" s="1"/>
  <c r="JL12" i="1"/>
  <c r="JK12" i="1"/>
  <c r="KR12" i="1" s="1"/>
  <c r="JJ12" i="1"/>
  <c r="JH12" i="1"/>
  <c r="JG12" i="1"/>
  <c r="JF12" i="1"/>
  <c r="JE12" i="1"/>
  <c r="JD12" i="1"/>
  <c r="JC12" i="1"/>
  <c r="JB12" i="1"/>
  <c r="JA12" i="1"/>
  <c r="IZ12" i="1"/>
  <c r="IY12" i="1"/>
  <c r="IX12" i="1"/>
  <c r="IW12" i="1"/>
  <c r="IL12" i="1"/>
  <c r="IK12" i="1"/>
  <c r="IJ12" i="1"/>
  <c r="II12" i="1"/>
  <c r="IH12" i="1"/>
  <c r="IG12" i="1"/>
  <c r="IB12" i="1"/>
  <c r="HT12" i="1"/>
  <c r="HS12" i="1"/>
  <c r="HR12" i="1"/>
  <c r="HQ12" i="1"/>
  <c r="HP12" i="1"/>
  <c r="HO12" i="1"/>
  <c r="HN12" i="1"/>
  <c r="HM12" i="1"/>
  <c r="HL12" i="1"/>
  <c r="HI12" i="1"/>
  <c r="IA12" i="1" s="1"/>
  <c r="HH12" i="1"/>
  <c r="HZ12" i="1" s="1"/>
  <c r="GT12" i="1"/>
  <c r="ID12" i="1" s="1"/>
  <c r="FZ12" i="1"/>
  <c r="GB12" i="1" s="1"/>
  <c r="FY12" i="1"/>
  <c r="FX12" i="1"/>
  <c r="FH12" i="1"/>
  <c r="KD12" i="1" s="1"/>
  <c r="EZ12" i="1"/>
  <c r="JV12" i="1" s="1"/>
  <c r="EY12" i="1"/>
  <c r="JU12" i="1" s="1"/>
  <c r="EX12" i="1"/>
  <c r="EW12" i="1"/>
  <c r="EV12" i="1"/>
  <c r="JR12" i="1" s="1"/>
  <c r="EU12" i="1"/>
  <c r="JQ12" i="1" s="1"/>
  <c r="ET12" i="1"/>
  <c r="ES12" i="1"/>
  <c r="ER12" i="1"/>
  <c r="EP12" i="1"/>
  <c r="EO12" i="1"/>
  <c r="EN12" i="1"/>
  <c r="DX12" i="1"/>
  <c r="DW12" i="1"/>
  <c r="FG12" i="1" s="1"/>
  <c r="DV12" i="1"/>
  <c r="FF12" i="1" s="1"/>
  <c r="DF12" i="1"/>
  <c r="IT12" i="1" s="1"/>
  <c r="DE12" i="1"/>
  <c r="IS12" i="1" s="1"/>
  <c r="KP12" i="1" s="1"/>
  <c r="DD12" i="1"/>
  <c r="IR12" i="1" s="1"/>
  <c r="CX12" i="1"/>
  <c r="CW12" i="1"/>
  <c r="CV12" i="1"/>
  <c r="JT12" i="1" s="1"/>
  <c r="CU12" i="1"/>
  <c r="CT12" i="1"/>
  <c r="CS12" i="1"/>
  <c r="CR12" i="1"/>
  <c r="IF12" i="1" s="1"/>
  <c r="CQ12" i="1"/>
  <c r="IE12" i="1" s="1"/>
  <c r="CP12" i="1"/>
  <c r="BX12" i="1"/>
  <c r="BF12" i="1"/>
  <c r="KK12" i="1" s="1"/>
  <c r="BD12" i="1"/>
  <c r="AV12" i="1"/>
  <c r="AU12" i="1"/>
  <c r="AT12" i="1"/>
  <c r="AS12" i="1"/>
  <c r="AR12" i="1"/>
  <c r="AQ12" i="1"/>
  <c r="AP12" i="1"/>
  <c r="AO12" i="1"/>
  <c r="AN12" i="1"/>
  <c r="KI12" i="1" s="1"/>
  <c r="KJ12" i="1" s="1"/>
  <c r="AL12" i="1"/>
  <c r="AK12" i="1"/>
  <c r="BC12" i="1" s="1"/>
  <c r="AJ12" i="1"/>
  <c r="BB12" i="1" s="1"/>
  <c r="V12" i="1"/>
  <c r="C12" i="1"/>
  <c r="KN11" i="1"/>
  <c r="KI11" i="1"/>
  <c r="KJ11" i="1" s="1"/>
  <c r="KH11" i="1"/>
  <c r="KG11" i="1"/>
  <c r="JL11" i="1"/>
  <c r="JH11" i="1"/>
  <c r="JG11" i="1"/>
  <c r="JF11" i="1"/>
  <c r="JE11" i="1"/>
  <c r="JD11" i="1"/>
  <c r="JC11" i="1"/>
  <c r="JB11" i="1"/>
  <c r="JA11" i="1"/>
  <c r="IZ11" i="1"/>
  <c r="IY11" i="1"/>
  <c r="IX11" i="1"/>
  <c r="IW11" i="1"/>
  <c r="IV11" i="1"/>
  <c r="IJ11" i="1"/>
  <c r="IG11" i="1"/>
  <c r="IF11" i="1"/>
  <c r="IE11" i="1"/>
  <c r="ID11" i="1"/>
  <c r="IA11" i="1"/>
  <c r="HZ11" i="1"/>
  <c r="HT11" i="1"/>
  <c r="HS11" i="1"/>
  <c r="HR11" i="1"/>
  <c r="HQ11" i="1"/>
  <c r="HP11" i="1"/>
  <c r="HO11" i="1"/>
  <c r="HN11" i="1"/>
  <c r="HM11" i="1"/>
  <c r="GB11" i="1"/>
  <c r="KM11" i="1" s="1"/>
  <c r="EZ11" i="1"/>
  <c r="EY11" i="1"/>
  <c r="JU11" i="1" s="1"/>
  <c r="EX11" i="1"/>
  <c r="JT11" i="1" s="1"/>
  <c r="EW11" i="1"/>
  <c r="EV11" i="1"/>
  <c r="JR11" i="1" s="1"/>
  <c r="EU11" i="1"/>
  <c r="JQ11" i="1" s="1"/>
  <c r="ET11" i="1"/>
  <c r="JP11" i="1" s="1"/>
  <c r="ES11" i="1"/>
  <c r="JO11" i="1" s="1"/>
  <c r="EO11" i="1"/>
  <c r="EN11" i="1"/>
  <c r="JJ11" i="1" s="1"/>
  <c r="KR11" i="1" s="1"/>
  <c r="DH11" i="1"/>
  <c r="CX11" i="1"/>
  <c r="IL11" i="1" s="1"/>
  <c r="CW11" i="1"/>
  <c r="IK11" i="1" s="1"/>
  <c r="CV11" i="1"/>
  <c r="CU11" i="1"/>
  <c r="CT11" i="1"/>
  <c r="IH11" i="1" s="1"/>
  <c r="CS11" i="1"/>
  <c r="CR11" i="1"/>
  <c r="CQ11" i="1"/>
  <c r="CM11" i="1"/>
  <c r="CL11" i="1"/>
  <c r="DV11" i="1" s="1"/>
  <c r="FF11" i="1" s="1"/>
  <c r="BF11" i="1"/>
  <c r="KK11" i="1" s="1"/>
  <c r="BC11" i="1"/>
  <c r="BB11" i="1"/>
  <c r="AV11" i="1"/>
  <c r="AU11" i="1"/>
  <c r="AT11" i="1"/>
  <c r="AS11" i="1"/>
  <c r="AR11" i="1"/>
  <c r="AQ11" i="1"/>
  <c r="AP11" i="1"/>
  <c r="AO11" i="1"/>
  <c r="AK11" i="1"/>
  <c r="AJ11" i="1"/>
  <c r="C11" i="1"/>
  <c r="KN10" i="1"/>
  <c r="KM10" i="1"/>
  <c r="JG10" i="1"/>
  <c r="JF10" i="1"/>
  <c r="JE10" i="1"/>
  <c r="IZ10" i="1"/>
  <c r="IY10" i="1"/>
  <c r="IX10" i="1"/>
  <c r="IW10" i="1"/>
  <c r="II10" i="1"/>
  <c r="HX10" i="1"/>
  <c r="HW10" i="1"/>
  <c r="HV10" i="1"/>
  <c r="HU10" i="1"/>
  <c r="HT10" i="1"/>
  <c r="HS10" i="1"/>
  <c r="HR10" i="1"/>
  <c r="HQ10" i="1"/>
  <c r="HP10" i="1"/>
  <c r="HO10" i="1"/>
  <c r="HN10" i="1"/>
  <c r="HM10" i="1"/>
  <c r="HL10" i="1"/>
  <c r="HJ10" i="1"/>
  <c r="HI10" i="1"/>
  <c r="IA10" i="1" s="1"/>
  <c r="HH10" i="1"/>
  <c r="GT10" i="1"/>
  <c r="GR10" i="1"/>
  <c r="IB10" i="1" s="1"/>
  <c r="GQ10" i="1"/>
  <c r="GP10" i="1"/>
  <c r="GB10" i="1"/>
  <c r="FZ10" i="1"/>
  <c r="FY10" i="1"/>
  <c r="FX10" i="1"/>
  <c r="EW10" i="1"/>
  <c r="JS10" i="1" s="1"/>
  <c r="EV10" i="1"/>
  <c r="JR10" i="1" s="1"/>
  <c r="EN10" i="1"/>
  <c r="JJ10" i="1" s="1"/>
  <c r="EL10" i="1"/>
  <c r="EK10" i="1"/>
  <c r="EJ10" i="1"/>
  <c r="FB10" i="1" s="1"/>
  <c r="EI10" i="1"/>
  <c r="EH10" i="1"/>
  <c r="JD10" i="1" s="1"/>
  <c r="EG10" i="1"/>
  <c r="JC10" i="1" s="1"/>
  <c r="EF10" i="1"/>
  <c r="JB10" i="1" s="1"/>
  <c r="EE10" i="1"/>
  <c r="JA10" i="1" s="1"/>
  <c r="ED10" i="1"/>
  <c r="EC10" i="1"/>
  <c r="EB10" i="1"/>
  <c r="EA10" i="1"/>
  <c r="DX10" i="1"/>
  <c r="DV10" i="1"/>
  <c r="DT10" i="1"/>
  <c r="DZ10" i="1" s="1"/>
  <c r="DS10" i="1"/>
  <c r="DR10" i="1"/>
  <c r="DQ10" i="1"/>
  <c r="FA10" i="1" s="1"/>
  <c r="DP10" i="1"/>
  <c r="DW10" i="1" s="1"/>
  <c r="DO10" i="1"/>
  <c r="EY10" i="1" s="1"/>
  <c r="DN10" i="1"/>
  <c r="DM10" i="1"/>
  <c r="CC10" i="1" s="1"/>
  <c r="DL10" i="1"/>
  <c r="DK10" i="1"/>
  <c r="EU10" i="1" s="1"/>
  <c r="JQ10" i="1" s="1"/>
  <c r="DJ10" i="1"/>
  <c r="BZ10" i="1" s="1"/>
  <c r="CR10" i="1" s="1"/>
  <c r="IF10" i="1" s="1"/>
  <c r="DI10" i="1"/>
  <c r="BY10" i="1" s="1"/>
  <c r="CQ10" i="1" s="1"/>
  <c r="IE10" i="1" s="1"/>
  <c r="CU10" i="1"/>
  <c r="CL10" i="1"/>
  <c r="CJ10" i="1"/>
  <c r="DB10" i="1" s="1"/>
  <c r="CH10" i="1"/>
  <c r="CZ10" i="1" s="1"/>
  <c r="CB10" i="1"/>
  <c r="CT10" i="1" s="1"/>
  <c r="IH10" i="1" s="1"/>
  <c r="CA10" i="1"/>
  <c r="CS10" i="1" s="1"/>
  <c r="IG10" i="1" s="1"/>
  <c r="BQ10" i="1"/>
  <c r="BO10" i="1"/>
  <c r="BM10" i="1"/>
  <c r="BL10" i="1"/>
  <c r="BK10" i="1"/>
  <c r="BJ10" i="1"/>
  <c r="BI10" i="1"/>
  <c r="BH10" i="1"/>
  <c r="BG10" i="1"/>
  <c r="BT10" i="1" s="1"/>
  <c r="BB10" i="1"/>
  <c r="AZ10" i="1"/>
  <c r="AY10" i="1"/>
  <c r="AX10" i="1"/>
  <c r="AW10" i="1"/>
  <c r="AV10" i="1"/>
  <c r="AU10" i="1"/>
  <c r="AT10" i="1"/>
  <c r="AS10" i="1"/>
  <c r="AR10" i="1"/>
  <c r="AQ10" i="1"/>
  <c r="AP10" i="1"/>
  <c r="AO10" i="1"/>
  <c r="AN10" i="1"/>
  <c r="AL10" i="1"/>
  <c r="AK10" i="1"/>
  <c r="BC10" i="1" s="1"/>
  <c r="AJ10" i="1"/>
  <c r="V10" i="1"/>
  <c r="KG10" i="1" s="1"/>
  <c r="KH10" i="1" s="1"/>
  <c r="T10" i="1"/>
  <c r="S10" i="1"/>
  <c r="R10" i="1"/>
  <c r="C10" i="1"/>
  <c r="KN9" i="1"/>
  <c r="KI9" i="1"/>
  <c r="KG9" i="1"/>
  <c r="KC9" i="1"/>
  <c r="KT9" i="1" s="1"/>
  <c r="JV9" i="1"/>
  <c r="JT9" i="1"/>
  <c r="JS9" i="1"/>
  <c r="JL9" i="1"/>
  <c r="JK9" i="1"/>
  <c r="KR9" i="1" s="1"/>
  <c r="JH9" i="1"/>
  <c r="JG9" i="1"/>
  <c r="JF9" i="1"/>
  <c r="JE9" i="1"/>
  <c r="JD9" i="1"/>
  <c r="JC9" i="1"/>
  <c r="JB9" i="1"/>
  <c r="JA9" i="1"/>
  <c r="IZ9" i="1"/>
  <c r="IY9" i="1"/>
  <c r="IX9" i="1"/>
  <c r="IW9" i="1"/>
  <c r="IV9" i="1"/>
  <c r="IS9" i="1"/>
  <c r="IR9" i="1"/>
  <c r="IL9" i="1"/>
  <c r="IF9" i="1"/>
  <c r="IE9" i="1"/>
  <c r="ID9" i="1"/>
  <c r="IA9" i="1"/>
  <c r="HZ9" i="1"/>
  <c r="HT9" i="1"/>
  <c r="HS9" i="1"/>
  <c r="HR9" i="1"/>
  <c r="HQ9" i="1"/>
  <c r="HP9" i="1"/>
  <c r="HO9" i="1"/>
  <c r="HN9" i="1"/>
  <c r="HM9" i="1"/>
  <c r="GB9" i="1"/>
  <c r="KM9" i="1" s="1"/>
  <c r="FG9" i="1"/>
  <c r="EZ9" i="1"/>
  <c r="EY9" i="1"/>
  <c r="EX9" i="1"/>
  <c r="EW9" i="1"/>
  <c r="EV9" i="1"/>
  <c r="JR9" i="1" s="1"/>
  <c r="EU9" i="1"/>
  <c r="JQ9" i="1" s="1"/>
  <c r="ET9" i="1"/>
  <c r="JP9" i="1" s="1"/>
  <c r="ES9" i="1"/>
  <c r="EN9" i="1"/>
  <c r="JJ9" i="1" s="1"/>
  <c r="DZ9" i="1"/>
  <c r="DV9" i="1"/>
  <c r="DH9" i="1"/>
  <c r="DE9" i="1"/>
  <c r="DD9" i="1"/>
  <c r="CX9" i="1"/>
  <c r="CW9" i="1"/>
  <c r="IK9" i="1" s="1"/>
  <c r="CV9" i="1"/>
  <c r="IJ9" i="1" s="1"/>
  <c r="CU9" i="1"/>
  <c r="II9" i="1" s="1"/>
  <c r="CT9" i="1"/>
  <c r="IH9" i="1" s="1"/>
  <c r="CS9" i="1"/>
  <c r="IG9" i="1" s="1"/>
  <c r="CR9" i="1"/>
  <c r="CQ9" i="1"/>
  <c r="JO9" i="1" s="1"/>
  <c r="CL9" i="1"/>
  <c r="BF9" i="1"/>
  <c r="BC9" i="1"/>
  <c r="BB9" i="1"/>
  <c r="KK9" i="1" s="1"/>
  <c r="AV9" i="1"/>
  <c r="AU9" i="1"/>
  <c r="AT9" i="1"/>
  <c r="AS9" i="1"/>
  <c r="AR9" i="1"/>
  <c r="AQ9" i="1"/>
  <c r="AP9" i="1"/>
  <c r="AO9" i="1"/>
  <c r="AJ9" i="1"/>
  <c r="C9" i="1"/>
  <c r="KQ8" i="1"/>
  <c r="KB8" i="1"/>
  <c r="JS8" i="1"/>
  <c r="JJ8" i="1"/>
  <c r="JH8" i="1"/>
  <c r="JG8" i="1"/>
  <c r="JF8" i="1"/>
  <c r="JC8" i="1"/>
  <c r="JB8" i="1"/>
  <c r="JA8" i="1"/>
  <c r="IZ8" i="1"/>
  <c r="IY8" i="1"/>
  <c r="IR8" i="1"/>
  <c r="IP8" i="1"/>
  <c r="II8" i="1"/>
  <c r="IG8" i="1"/>
  <c r="IB8" i="1"/>
  <c r="IA8" i="1"/>
  <c r="HU8" i="1"/>
  <c r="HS8" i="1"/>
  <c r="HR8" i="1"/>
  <c r="HQ8" i="1"/>
  <c r="HP8" i="1"/>
  <c r="HO8" i="1"/>
  <c r="HN8" i="1"/>
  <c r="HM8" i="1"/>
  <c r="HH8" i="1"/>
  <c r="HZ8" i="1" s="1"/>
  <c r="HF8" i="1"/>
  <c r="HE8" i="1"/>
  <c r="HD8" i="1"/>
  <c r="HB8" i="1"/>
  <c r="GP8" i="1"/>
  <c r="GL8" i="1"/>
  <c r="HV8" i="1" s="1"/>
  <c r="GJ8" i="1"/>
  <c r="GB8" i="1"/>
  <c r="KM8" i="1" s="1"/>
  <c r="FZ8" i="1"/>
  <c r="FY8" i="1"/>
  <c r="FX8" i="1"/>
  <c r="FM8" i="1"/>
  <c r="FL8" i="1"/>
  <c r="FK8" i="1" s="1"/>
  <c r="FF8" i="1"/>
  <c r="FD8" i="1"/>
  <c r="JZ8" i="1" s="1"/>
  <c r="FC8" i="1"/>
  <c r="EY8" i="1"/>
  <c r="JU8" i="1" s="1"/>
  <c r="EX8" i="1"/>
  <c r="EW8" i="1"/>
  <c r="EV8" i="1"/>
  <c r="JR8" i="1" s="1"/>
  <c r="ES8" i="1"/>
  <c r="JO8" i="1" s="1"/>
  <c r="ER8" i="1"/>
  <c r="JN8" i="1" s="1"/>
  <c r="EP8" i="1"/>
  <c r="EN8" i="1"/>
  <c r="EL8" i="1"/>
  <c r="EK8" i="1"/>
  <c r="EJ8" i="1"/>
  <c r="EI8" i="1"/>
  <c r="JE8" i="1" s="1"/>
  <c r="EH8" i="1"/>
  <c r="EO8" i="1" s="1"/>
  <c r="EC8" i="1"/>
  <c r="EB8" i="1"/>
  <c r="IX8" i="1" s="1"/>
  <c r="EA8" i="1"/>
  <c r="IW8" i="1" s="1"/>
  <c r="DZ8" i="1"/>
  <c r="FJ8" i="1" s="1"/>
  <c r="DX8" i="1"/>
  <c r="FH8" i="1" s="1"/>
  <c r="DV8" i="1"/>
  <c r="DT8" i="1"/>
  <c r="DS8" i="1"/>
  <c r="DR8" i="1"/>
  <c r="FB8" i="1" s="1"/>
  <c r="DQ8" i="1"/>
  <c r="FA8" i="1" s="1"/>
  <c r="JW8" i="1" s="1"/>
  <c r="DP8" i="1"/>
  <c r="DW8" i="1" s="1"/>
  <c r="FG8" i="1" s="1"/>
  <c r="KC8" i="1" s="1"/>
  <c r="KT8" i="1" s="1"/>
  <c r="DK8" i="1"/>
  <c r="EU8" i="1" s="1"/>
  <c r="JQ8" i="1" s="1"/>
  <c r="DJ8" i="1"/>
  <c r="DI8" i="1" s="1"/>
  <c r="CZ8" i="1"/>
  <c r="IN8" i="1" s="1"/>
  <c r="CY8" i="1"/>
  <c r="IM8" i="1" s="1"/>
  <c r="CW8" i="1"/>
  <c r="IK8" i="1" s="1"/>
  <c r="CV8" i="1"/>
  <c r="JT8" i="1" s="1"/>
  <c r="CU8" i="1"/>
  <c r="CS8" i="1"/>
  <c r="CR8" i="1"/>
  <c r="IF8" i="1" s="1"/>
  <c r="CQ8" i="1"/>
  <c r="IE8" i="1" s="1"/>
  <c r="CH8" i="1"/>
  <c r="CF8" i="1"/>
  <c r="CB8" i="1"/>
  <c r="CT8" i="1" s="1"/>
  <c r="IH8" i="1" s="1"/>
  <c r="BX8" i="1"/>
  <c r="BV8" i="1"/>
  <c r="BU8" i="1"/>
  <c r="BN8" i="1" s="1"/>
  <c r="BT8" i="1"/>
  <c r="BC8" i="1"/>
  <c r="AZ8" i="1"/>
  <c r="AY8" i="1"/>
  <c r="AX8" i="1"/>
  <c r="AW8" i="1"/>
  <c r="AU8" i="1"/>
  <c r="AT8" i="1"/>
  <c r="AS8" i="1"/>
  <c r="AR8" i="1"/>
  <c r="AQ8" i="1"/>
  <c r="AP8" i="1"/>
  <c r="AO8" i="1"/>
  <c r="AN8" i="1"/>
  <c r="AL8" i="1"/>
  <c r="AK8" i="1"/>
  <c r="DE8" i="1" s="1"/>
  <c r="IS8" i="1" s="1"/>
  <c r="KP8" i="1" s="1"/>
  <c r="AJ8" i="1"/>
  <c r="DD8" i="1" s="1"/>
  <c r="AH8" i="1"/>
  <c r="DB8" i="1" s="1"/>
  <c r="AG8" i="1"/>
  <c r="AF8" i="1"/>
  <c r="AE8" i="1"/>
  <c r="AD8" i="1"/>
  <c r="V8" i="1"/>
  <c r="KG8" i="1" s="1"/>
  <c r="KH8" i="1" s="1"/>
  <c r="T8" i="1"/>
  <c r="R8" i="1"/>
  <c r="BB8" i="1" s="1"/>
  <c r="L8" i="1"/>
  <c r="AV8" i="1" s="1"/>
  <c r="C8" i="1"/>
  <c r="JU7" i="1"/>
  <c r="JT7" i="1"/>
  <c r="JR7" i="1"/>
  <c r="JQ7" i="1"/>
  <c r="JK7" i="1"/>
  <c r="KR7" i="1" s="1"/>
  <c r="JJ7" i="1"/>
  <c r="JC7" i="1"/>
  <c r="JB7" i="1"/>
  <c r="JA7" i="1"/>
  <c r="IZ7" i="1"/>
  <c r="IY7" i="1"/>
  <c r="IX7" i="1"/>
  <c r="IW7" i="1"/>
  <c r="IS7" i="1"/>
  <c r="KP7" i="1" s="1"/>
  <c r="IR7" i="1"/>
  <c r="IK7" i="1"/>
  <c r="IH7" i="1"/>
  <c r="IG7" i="1"/>
  <c r="IF7" i="1"/>
  <c r="HT7" i="1"/>
  <c r="HS7" i="1"/>
  <c r="HR7" i="1"/>
  <c r="HQ7" i="1"/>
  <c r="HP7" i="1"/>
  <c r="HO7" i="1"/>
  <c r="HN7" i="1"/>
  <c r="HM7" i="1"/>
  <c r="HI7" i="1"/>
  <c r="IA7" i="1" s="1"/>
  <c r="HH7" i="1"/>
  <c r="HZ7" i="1" s="1"/>
  <c r="HE7" i="1"/>
  <c r="HD7" i="1"/>
  <c r="GK7" i="1"/>
  <c r="FZ7" i="1"/>
  <c r="FY7" i="1"/>
  <c r="FX7" i="1"/>
  <c r="FV7" i="1"/>
  <c r="GB7" i="1" s="1"/>
  <c r="KM7" i="1" s="1"/>
  <c r="FU7" i="1"/>
  <c r="FT7" i="1"/>
  <c r="FS7" i="1"/>
  <c r="FR7" i="1"/>
  <c r="EZ7" i="1"/>
  <c r="EY7" i="1"/>
  <c r="EX7" i="1"/>
  <c r="EW7" i="1"/>
  <c r="EV7" i="1"/>
  <c r="EU7" i="1"/>
  <c r="ET7" i="1"/>
  <c r="ES7" i="1"/>
  <c r="JO7" i="1" s="1"/>
  <c r="ER7" i="1"/>
  <c r="EO7" i="1"/>
  <c r="EH7" i="1" s="1"/>
  <c r="EL7" i="1"/>
  <c r="EK7" i="1"/>
  <c r="JG7" i="1" s="1"/>
  <c r="EJ7" i="1"/>
  <c r="JF7" i="1" s="1"/>
  <c r="EI7" i="1"/>
  <c r="JE7" i="1" s="1"/>
  <c r="DW7" i="1"/>
  <c r="DV7" i="1"/>
  <c r="FF7" i="1" s="1"/>
  <c r="KB7" i="1" s="1"/>
  <c r="DP7" i="1"/>
  <c r="DE7" i="1"/>
  <c r="DD7" i="1"/>
  <c r="DA7" i="1"/>
  <c r="IO7" i="1" s="1"/>
  <c r="CZ7" i="1"/>
  <c r="IN7" i="1" s="1"/>
  <c r="CY7" i="1"/>
  <c r="IM7" i="1" s="1"/>
  <c r="CW7" i="1"/>
  <c r="CV7" i="1"/>
  <c r="IJ7" i="1" s="1"/>
  <c r="CU7" i="1"/>
  <c r="II7" i="1" s="1"/>
  <c r="CT7" i="1"/>
  <c r="CS7" i="1"/>
  <c r="CR7" i="1"/>
  <c r="CQ7" i="1"/>
  <c r="IE7" i="1" s="1"/>
  <c r="CJ7" i="1"/>
  <c r="CF7" i="1"/>
  <c r="BX7" i="1"/>
  <c r="BV7" i="1"/>
  <c r="BR7" i="1"/>
  <c r="BN7" i="1"/>
  <c r="BC7" i="1"/>
  <c r="BB7" i="1"/>
  <c r="AY7" i="1"/>
  <c r="AX7" i="1"/>
  <c r="AW7" i="1"/>
  <c r="AU7" i="1"/>
  <c r="AT7" i="1"/>
  <c r="AS7" i="1"/>
  <c r="AR7" i="1"/>
  <c r="AQ7" i="1"/>
  <c r="AP7" i="1"/>
  <c r="AO7" i="1"/>
  <c r="AL7" i="1"/>
  <c r="AH7" i="1"/>
  <c r="AD7" i="1"/>
  <c r="V7" i="1"/>
  <c r="KG7" i="1" s="1"/>
  <c r="KH7" i="1" s="1"/>
  <c r="P7" i="1"/>
  <c r="L7" i="1"/>
  <c r="C7" i="1"/>
  <c r="KN6" i="1"/>
  <c r="KI6" i="1"/>
  <c r="KH6" i="1"/>
  <c r="KG6" i="1"/>
  <c r="JL6" i="1"/>
  <c r="JK6" i="1"/>
  <c r="JH6" i="1"/>
  <c r="JG6" i="1"/>
  <c r="JF6" i="1"/>
  <c r="JE6" i="1"/>
  <c r="JD6" i="1"/>
  <c r="JC6" i="1"/>
  <c r="JB6" i="1"/>
  <c r="JA6" i="1"/>
  <c r="IZ6" i="1"/>
  <c r="IY6" i="1"/>
  <c r="IX6" i="1"/>
  <c r="IW6" i="1"/>
  <c r="IV6" i="1"/>
  <c r="IH6" i="1"/>
  <c r="IG6" i="1"/>
  <c r="IF6" i="1"/>
  <c r="IE6" i="1"/>
  <c r="ID6" i="1"/>
  <c r="IA6" i="1"/>
  <c r="HZ6" i="1"/>
  <c r="HT6" i="1"/>
  <c r="HS6" i="1"/>
  <c r="HR6" i="1"/>
  <c r="HQ6" i="1"/>
  <c r="HP6" i="1"/>
  <c r="HO6" i="1"/>
  <c r="HN6" i="1"/>
  <c r="HM6" i="1"/>
  <c r="GB6" i="1"/>
  <c r="KM6" i="1" s="1"/>
  <c r="EZ6" i="1"/>
  <c r="EY6" i="1"/>
  <c r="EX6" i="1"/>
  <c r="EW6" i="1"/>
  <c r="EV6" i="1"/>
  <c r="JR6" i="1" s="1"/>
  <c r="EU6" i="1"/>
  <c r="JQ6" i="1" s="1"/>
  <c r="ET6" i="1"/>
  <c r="JP6" i="1" s="1"/>
  <c r="ES6" i="1"/>
  <c r="EO6" i="1"/>
  <c r="EN6" i="1"/>
  <c r="DW6" i="1"/>
  <c r="FG6" i="1" s="1"/>
  <c r="DV6" i="1"/>
  <c r="FF6" i="1" s="1"/>
  <c r="DH6" i="1"/>
  <c r="DD6" i="1"/>
  <c r="IR6" i="1" s="1"/>
  <c r="KP6" i="1" s="1"/>
  <c r="CX6" i="1"/>
  <c r="IL6" i="1" s="1"/>
  <c r="CW6" i="1"/>
  <c r="IK6" i="1" s="1"/>
  <c r="CV6" i="1"/>
  <c r="CU6" i="1"/>
  <c r="CT6" i="1"/>
  <c r="CS6" i="1"/>
  <c r="CR6" i="1"/>
  <c r="CQ6" i="1"/>
  <c r="JO6" i="1" s="1"/>
  <c r="CM6" i="1"/>
  <c r="CL6" i="1"/>
  <c r="BF6" i="1"/>
  <c r="AV6" i="1"/>
  <c r="AU6" i="1"/>
  <c r="AT6" i="1"/>
  <c r="AS6" i="1"/>
  <c r="AR6" i="1"/>
  <c r="AQ6" i="1"/>
  <c r="AP6" i="1"/>
  <c r="AO6" i="1"/>
  <c r="AK6" i="1"/>
  <c r="BC6" i="1" s="1"/>
  <c r="AJ6" i="1"/>
  <c r="BB6" i="1" s="1"/>
  <c r="C6" i="1"/>
  <c r="KN5" i="1"/>
  <c r="KM5" i="1"/>
  <c r="KL5" i="1"/>
  <c r="JE5" i="1"/>
  <c r="JD5" i="1"/>
  <c r="IY5" i="1"/>
  <c r="IX5" i="1"/>
  <c r="IW5" i="1"/>
  <c r="IP5" i="1"/>
  <c r="II5" i="1"/>
  <c r="IE5" i="1"/>
  <c r="ID5" i="1"/>
  <c r="IB5" i="1"/>
  <c r="IA5" i="1"/>
  <c r="HZ5" i="1"/>
  <c r="HX5" i="1"/>
  <c r="HW5" i="1"/>
  <c r="HV5" i="1"/>
  <c r="HU5" i="1"/>
  <c r="HT5" i="1"/>
  <c r="HO5" i="1"/>
  <c r="HN5" i="1"/>
  <c r="HM5" i="1"/>
  <c r="HH5" i="1"/>
  <c r="HA5" i="1"/>
  <c r="HS5" i="1" s="1"/>
  <c r="GZ5" i="1"/>
  <c r="GY5" i="1" s="1"/>
  <c r="FZ5" i="1"/>
  <c r="GB5" i="1" s="1"/>
  <c r="FY5" i="1"/>
  <c r="FX5" i="1"/>
  <c r="FJ5" i="1"/>
  <c r="FH5" i="1"/>
  <c r="EY5" i="1"/>
  <c r="EX5" i="1"/>
  <c r="EU5" i="1"/>
  <c r="ET5" i="1"/>
  <c r="ES5" i="1"/>
  <c r="ER5" i="1"/>
  <c r="EP5" i="1"/>
  <c r="EO5" i="1"/>
  <c r="EN5" i="1"/>
  <c r="EL5" i="1"/>
  <c r="JH5" i="1" s="1"/>
  <c r="EK5" i="1"/>
  <c r="JG5" i="1" s="1"/>
  <c r="EJ5" i="1"/>
  <c r="JF5" i="1" s="1"/>
  <c r="EI5" i="1"/>
  <c r="ED5" i="1"/>
  <c r="BJ5" i="1" s="1"/>
  <c r="DZ5" i="1"/>
  <c r="DX5" i="1"/>
  <c r="DV5" i="1"/>
  <c r="FF5" i="1" s="1"/>
  <c r="DT5" i="1"/>
  <c r="FD5" i="1" s="1"/>
  <c r="JZ5" i="1" s="1"/>
  <c r="DS5" i="1"/>
  <c r="FC5" i="1" s="1"/>
  <c r="JY5" i="1" s="1"/>
  <c r="DR5" i="1"/>
  <c r="FB5" i="1" s="1"/>
  <c r="JX5" i="1" s="1"/>
  <c r="DQ5" i="1"/>
  <c r="FA5" i="1" s="1"/>
  <c r="JW5" i="1" s="1"/>
  <c r="DP5" i="1"/>
  <c r="DW5" i="1" s="1"/>
  <c r="FG5" i="1" s="1"/>
  <c r="DO5" i="1"/>
  <c r="DN5" i="1"/>
  <c r="DM5" i="1"/>
  <c r="EW5" i="1" s="1"/>
  <c r="DL5" i="1"/>
  <c r="DB5" i="1"/>
  <c r="DA5" i="1"/>
  <c r="IO5" i="1" s="1"/>
  <c r="CZ5" i="1"/>
  <c r="IN5" i="1" s="1"/>
  <c r="CY5" i="1"/>
  <c r="IM5" i="1" s="1"/>
  <c r="CX5" i="1"/>
  <c r="CS5" i="1"/>
  <c r="CR5" i="1"/>
  <c r="CQ5" i="1"/>
  <c r="CP5" i="1"/>
  <c r="CM5" i="1"/>
  <c r="CB5" i="1"/>
  <c r="BX5" i="1"/>
  <c r="BV5" i="1"/>
  <c r="BT5" i="1"/>
  <c r="BN5" i="1"/>
  <c r="BM5" i="1"/>
  <c r="BL5" i="1"/>
  <c r="BK5" i="1"/>
  <c r="AZ5" i="1"/>
  <c r="AV5" i="1"/>
  <c r="AQ5" i="1"/>
  <c r="AP5" i="1"/>
  <c r="AO5" i="1"/>
  <c r="AL5" i="1"/>
  <c r="AJ5" i="1"/>
  <c r="AD5" i="1"/>
  <c r="AC5" i="1"/>
  <c r="AB5" i="1"/>
  <c r="CV5" i="1" s="1"/>
  <c r="AA5" i="1"/>
  <c r="CU5" i="1" s="1"/>
  <c r="JS5" i="1" s="1"/>
  <c r="Z5" i="1"/>
  <c r="S5" i="1"/>
  <c r="P5" i="1"/>
  <c r="O5" i="1"/>
  <c r="AY5" i="1" s="1"/>
  <c r="N5" i="1"/>
  <c r="AX5" i="1" s="1"/>
  <c r="M5" i="1"/>
  <c r="H5" i="1"/>
  <c r="C5" i="1"/>
  <c r="KN4" i="1"/>
  <c r="KM4" i="1"/>
  <c r="JR4" i="1"/>
  <c r="JG4" i="1"/>
  <c r="JF4" i="1"/>
  <c r="JE4" i="1"/>
  <c r="JC4" i="1"/>
  <c r="IZ4" i="1"/>
  <c r="IY4" i="1"/>
  <c r="IX4" i="1"/>
  <c r="IW4" i="1"/>
  <c r="IM4" i="1"/>
  <c r="IH4" i="1"/>
  <c r="IG4" i="1"/>
  <c r="ID4" i="1"/>
  <c r="IA4" i="1"/>
  <c r="HZ4" i="1"/>
  <c r="HX4" i="1"/>
  <c r="HW4" i="1"/>
  <c r="HV4" i="1"/>
  <c r="HU4" i="1"/>
  <c r="HT4" i="1"/>
  <c r="HS4" i="1"/>
  <c r="HR4" i="1"/>
  <c r="HQ4" i="1"/>
  <c r="HP4" i="1"/>
  <c r="HO4" i="1"/>
  <c r="HN4" i="1"/>
  <c r="HM4" i="1"/>
  <c r="HL4" i="1"/>
  <c r="HJ4" i="1"/>
  <c r="GT4" i="1"/>
  <c r="GR4" i="1"/>
  <c r="GB4" i="1"/>
  <c r="FZ4" i="1"/>
  <c r="EV4" i="1"/>
  <c r="EU4" i="1"/>
  <c r="JQ4" i="1" s="1"/>
  <c r="ET4" i="1"/>
  <c r="JP4" i="1" s="1"/>
  <c r="ES4" i="1"/>
  <c r="JO4" i="1" s="1"/>
  <c r="EO4" i="1"/>
  <c r="JK4" i="1" s="1"/>
  <c r="KR4" i="1" s="1"/>
  <c r="EN4" i="1"/>
  <c r="JJ4" i="1" s="1"/>
  <c r="EL4" i="1"/>
  <c r="EK4" i="1"/>
  <c r="EJ4" i="1"/>
  <c r="DV4" i="1"/>
  <c r="DQ4" i="1"/>
  <c r="CY4" i="1"/>
  <c r="CT4" i="1"/>
  <c r="CS4" i="1"/>
  <c r="CR4" i="1"/>
  <c r="IF4" i="1" s="1"/>
  <c r="CQ4" i="1"/>
  <c r="IE4" i="1" s="1"/>
  <c r="CM4" i="1"/>
  <c r="CG4" i="1"/>
  <c r="CH4" i="1" s="1"/>
  <c r="BQ4" i="1"/>
  <c r="BN4" i="1"/>
  <c r="AY4" i="1"/>
  <c r="AX4" i="1"/>
  <c r="AW4" i="1"/>
  <c r="AR4" i="1"/>
  <c r="AQ4" i="1"/>
  <c r="AP4" i="1"/>
  <c r="AO4" i="1"/>
  <c r="AK4" i="1"/>
  <c r="DE4" i="1" s="1"/>
  <c r="IS4" i="1" s="1"/>
  <c r="KP4" i="1" s="1"/>
  <c r="AJ4" i="1"/>
  <c r="BB4" i="1" s="1"/>
  <c r="AF4" i="1"/>
  <c r="AG4" i="1" s="1"/>
  <c r="AE4" i="1"/>
  <c r="AC4" i="1"/>
  <c r="AA4" i="1"/>
  <c r="N4" i="1"/>
  <c r="O4" i="1" s="1"/>
  <c r="P4" i="1" s="1"/>
  <c r="V4" i="1" s="1"/>
  <c r="KG4" i="1" s="1"/>
  <c r="KH4" i="1" s="1"/>
  <c r="J4" i="1"/>
  <c r="K4" i="1" s="1"/>
  <c r="L4" i="1" s="1"/>
  <c r="C4" i="1"/>
  <c r="FH13" i="1" l="1"/>
  <c r="BF18" i="1"/>
  <c r="KK18" i="1" s="1"/>
  <c r="KI18" i="1"/>
  <c r="KJ18" i="1" s="1"/>
  <c r="JY8" i="1"/>
  <c r="FG10" i="1"/>
  <c r="V5" i="1"/>
  <c r="KG5" i="1" s="1"/>
  <c r="KH5" i="1" s="1"/>
  <c r="T5" i="1"/>
  <c r="BD5" i="1" s="1"/>
  <c r="CP7" i="1"/>
  <c r="DZ7" i="1" s="1"/>
  <c r="CN7" i="1"/>
  <c r="DX7" i="1" s="1"/>
  <c r="JK11" i="1"/>
  <c r="ER11" i="1"/>
  <c r="JN11" i="1" s="1"/>
  <c r="KQ11" i="1" s="1"/>
  <c r="CN19" i="1"/>
  <c r="DF5" i="2"/>
  <c r="BV5" i="2"/>
  <c r="DY5" i="2"/>
  <c r="CX7" i="1"/>
  <c r="IL7" i="1" s="1"/>
  <c r="AV7" i="1"/>
  <c r="ET8" i="1"/>
  <c r="JP8" i="1" s="1"/>
  <c r="KS25" i="1"/>
  <c r="ED4" i="2"/>
  <c r="DK4" i="2"/>
  <c r="II6" i="1"/>
  <c r="JS6" i="1"/>
  <c r="DB7" i="1"/>
  <c r="IP7" i="1" s="1"/>
  <c r="AN7" i="1"/>
  <c r="HL8" i="1"/>
  <c r="DB13" i="1"/>
  <c r="IP13" i="1" s="1"/>
  <c r="AN13" i="1"/>
  <c r="GJ17" i="1"/>
  <c r="KB18" i="1"/>
  <c r="IE25" i="1"/>
  <c r="JO25" i="1"/>
  <c r="CV5" i="2"/>
  <c r="DX5" i="2"/>
  <c r="CO5" i="2"/>
  <c r="DO6" i="2"/>
  <c r="EH6" i="2"/>
  <c r="FH6" i="2"/>
  <c r="KI10" i="1"/>
  <c r="KJ10" i="1" s="1"/>
  <c r="HF13" i="1"/>
  <c r="HL13" i="1" s="1"/>
  <c r="CZ18" i="1"/>
  <c r="IN18" i="1" s="1"/>
  <c r="CG18" i="1"/>
  <c r="CY18" i="1" s="1"/>
  <c r="IM18" i="1" s="1"/>
  <c r="DO45" i="2"/>
  <c r="FH45" i="2"/>
  <c r="EH45" i="2"/>
  <c r="AK5" i="1"/>
  <c r="JQ5" i="1"/>
  <c r="IG5" i="1"/>
  <c r="JB5" i="1"/>
  <c r="ER6" i="1"/>
  <c r="JN6" i="1" s="1"/>
  <c r="KQ6" i="1" s="1"/>
  <c r="JJ6" i="1"/>
  <c r="KR6" i="1" s="1"/>
  <c r="JU9" i="1"/>
  <c r="DE11" i="1"/>
  <c r="IS11" i="1" s="1"/>
  <c r="KO11" i="1" s="1"/>
  <c r="DW11" i="1"/>
  <c r="HJ13" i="1"/>
  <c r="HL15" i="1"/>
  <c r="ID15" i="1" s="1"/>
  <c r="IB15" i="1"/>
  <c r="IL23" i="1"/>
  <c r="JV23" i="1"/>
  <c r="EF18" i="2"/>
  <c r="DM18" i="2"/>
  <c r="EC19" i="2"/>
  <c r="DJ19" i="2"/>
  <c r="FA35" i="2"/>
  <c r="FJ35" i="2"/>
  <c r="FN35" i="2" s="1"/>
  <c r="JF14" i="1"/>
  <c r="FB14" i="1"/>
  <c r="JX14" i="1" s="1"/>
  <c r="IK21" i="1"/>
  <c r="JU21" i="1"/>
  <c r="AH4" i="1"/>
  <c r="JH4" i="1" s="1"/>
  <c r="HR5" i="1"/>
  <c r="AZ7" i="1"/>
  <c r="BD8" i="1"/>
  <c r="CP8" i="1"/>
  <c r="CN8" i="1"/>
  <c r="DF8" i="1" s="1"/>
  <c r="CI8" i="1"/>
  <c r="DA8" i="1" s="1"/>
  <c r="IO8" i="1" s="1"/>
  <c r="JK8" i="1"/>
  <c r="KR8" i="1" s="1"/>
  <c r="CG10" i="1"/>
  <c r="CE18" i="1"/>
  <c r="CP18" i="1"/>
  <c r="DH18" i="1" s="1"/>
  <c r="IV18" i="1" s="1"/>
  <c r="KO18" i="1" s="1"/>
  <c r="DZ19" i="1"/>
  <c r="FJ19" i="1" s="1"/>
  <c r="FD19" i="1"/>
  <c r="DX19" i="1"/>
  <c r="FH19" i="1" s="1"/>
  <c r="BC13" i="1"/>
  <c r="JK13" i="1"/>
  <c r="KR13" i="1" s="1"/>
  <c r="DB26" i="2"/>
  <c r="DU26" i="2"/>
  <c r="BZ26" i="2"/>
  <c r="BD10" i="1"/>
  <c r="CD10" i="1"/>
  <c r="EX10" i="1"/>
  <c r="JP12" i="1"/>
  <c r="ER17" i="1"/>
  <c r="JN17" i="1" s="1"/>
  <c r="KQ17" i="1" s="1"/>
  <c r="AV18" i="1"/>
  <c r="JD18" i="1"/>
  <c r="EZ8" i="1"/>
  <c r="IH20" i="1"/>
  <c r="JR20" i="1"/>
  <c r="T4" i="1"/>
  <c r="AU5" i="1"/>
  <c r="CW5" i="1"/>
  <c r="IK5" i="1" s="1"/>
  <c r="ES10" i="1"/>
  <c r="JO10" i="1" s="1"/>
  <c r="BX14" i="1"/>
  <c r="BV14" i="1"/>
  <c r="JF18" i="1"/>
  <c r="FB18" i="1"/>
  <c r="JX18" i="1" s="1"/>
  <c r="FL27" i="2"/>
  <c r="FK27" i="2"/>
  <c r="FI27" i="2"/>
  <c r="KC6" i="1"/>
  <c r="ET10" i="1"/>
  <c r="JP10" i="1" s="1"/>
  <c r="HF16" i="1"/>
  <c r="HX16" i="1" s="1"/>
  <c r="HL16" i="1"/>
  <c r="HV16" i="1"/>
  <c r="IJ20" i="1"/>
  <c r="JT20" i="1"/>
  <c r="ER9" i="1"/>
  <c r="KB11" i="1"/>
  <c r="KT11" i="1" s="1"/>
  <c r="FH18" i="2"/>
  <c r="EH18" i="2"/>
  <c r="DO18" i="2"/>
  <c r="JG16" i="1"/>
  <c r="FC16" i="1"/>
  <c r="JY16" i="1" s="1"/>
  <c r="IX17" i="1"/>
  <c r="ET17" i="1"/>
  <c r="JP17" i="1" s="1"/>
  <c r="KO9" i="1"/>
  <c r="IP10" i="1"/>
  <c r="EV16" i="1"/>
  <c r="JR16" i="1" s="1"/>
  <c r="DV16" i="1"/>
  <c r="FF16" i="1" s="1"/>
  <c r="KB16" i="1" s="1"/>
  <c r="AQ7" i="2"/>
  <c r="FD7" i="2" s="1"/>
  <c r="DD4" i="1"/>
  <c r="IR4" i="1" s="1"/>
  <c r="JX13" i="1"/>
  <c r="FF14" i="1"/>
  <c r="FH15" i="1"/>
  <c r="KD15" i="1" s="1"/>
  <c r="DZ15" i="1"/>
  <c r="FJ15" i="1" s="1"/>
  <c r="FF19" i="1"/>
  <c r="CL19" i="1"/>
  <c r="DD19" i="1" s="1"/>
  <c r="IR19" i="1" s="1"/>
  <c r="DF7" i="2"/>
  <c r="EP4" i="1"/>
  <c r="IJ6" i="1"/>
  <c r="JT6" i="1"/>
  <c r="HF7" i="1"/>
  <c r="ER10" i="1"/>
  <c r="JN10" i="1" s="1"/>
  <c r="KQ10" i="1" s="1"/>
  <c r="FD10" i="1"/>
  <c r="JZ10" i="1" s="1"/>
  <c r="JH10" i="1"/>
  <c r="FD14" i="1"/>
  <c r="DX14" i="1"/>
  <c r="FH14" i="1" s="1"/>
  <c r="DZ14" i="1"/>
  <c r="FJ14" i="1" s="1"/>
  <c r="AT19" i="1"/>
  <c r="AC19" i="1"/>
  <c r="JX8" i="1"/>
  <c r="JO12" i="1"/>
  <c r="DK35" i="2"/>
  <c r="BN35" i="2"/>
  <c r="ED35" i="2"/>
  <c r="BN10" i="1"/>
  <c r="CJ13" i="1"/>
  <c r="IW16" i="1"/>
  <c r="DW4" i="1"/>
  <c r="FG4" i="1" s="1"/>
  <c r="KC4" i="1" s="1"/>
  <c r="KT4" i="1" s="1"/>
  <c r="CF4" i="1"/>
  <c r="KB6" i="1"/>
  <c r="KT6" i="1" s="1"/>
  <c r="DE19" i="2"/>
  <c r="DX19" i="2"/>
  <c r="BW19" i="2"/>
  <c r="IZ5" i="1"/>
  <c r="BR10" i="1"/>
  <c r="AL18" i="1"/>
  <c r="JG18" i="1"/>
  <c r="FC18" i="1"/>
  <c r="JY18" i="1" s="1"/>
  <c r="DD5" i="1"/>
  <c r="IR5" i="1" s="1"/>
  <c r="BB5" i="1"/>
  <c r="DZ6" i="1"/>
  <c r="KL8" i="1"/>
  <c r="FC10" i="1"/>
  <c r="JY10" i="1" s="1"/>
  <c r="CI10" i="1"/>
  <c r="DA10" i="1" s="1"/>
  <c r="IO10" i="1" s="1"/>
  <c r="EE18" i="2"/>
  <c r="FM18" i="2" s="1"/>
  <c r="DL18" i="2"/>
  <c r="AN5" i="1"/>
  <c r="DF5" i="1"/>
  <c r="IT5" i="1" s="1"/>
  <c r="FF10" i="1"/>
  <c r="KB10" i="1" s="1"/>
  <c r="AV16" i="1"/>
  <c r="CX16" i="1"/>
  <c r="IL16" i="1" s="1"/>
  <c r="JD16" i="1"/>
  <c r="AZ13" i="1"/>
  <c r="FD17" i="1"/>
  <c r="JZ17" i="1" s="1"/>
  <c r="JW19" i="1"/>
  <c r="FA13" i="2"/>
  <c r="FJ13" i="2"/>
  <c r="FN13" i="2" s="1"/>
  <c r="II11" i="1"/>
  <c r="JS11" i="1"/>
  <c r="JL5" i="1"/>
  <c r="AW5" i="1"/>
  <c r="GM8" i="1"/>
  <c r="FF9" i="1"/>
  <c r="KB9" i="1" s="1"/>
  <c r="KC13" i="1"/>
  <c r="KT13" i="1" s="1"/>
  <c r="IK14" i="1"/>
  <c r="JU16" i="1"/>
  <c r="KC19" i="1"/>
  <c r="KT19" i="1" s="1"/>
  <c r="DS6" i="2"/>
  <c r="CZ6" i="2"/>
  <c r="BB7" i="2"/>
  <c r="BC7" i="2" s="1"/>
  <c r="HC7" i="1"/>
  <c r="HV7" i="1"/>
  <c r="KC16" i="1"/>
  <c r="KT16" i="1" s="1"/>
  <c r="KL23" i="1"/>
  <c r="KF23" i="1"/>
  <c r="KS23" i="1" s="1"/>
  <c r="JO16" i="1"/>
  <c r="JU10" i="1"/>
  <c r="GX5" i="1"/>
  <c r="HP5" i="1" s="1"/>
  <c r="HQ5" i="1"/>
  <c r="DD18" i="1"/>
  <c r="IR18" i="1" s="1"/>
  <c r="BB18" i="1"/>
  <c r="JU6" i="1"/>
  <c r="BQ14" i="1"/>
  <c r="BR14" i="1" s="1"/>
  <c r="IJ23" i="1"/>
  <c r="JT23" i="1"/>
  <c r="JP5" i="1"/>
  <c r="IF5" i="1"/>
  <c r="JV6" i="1"/>
  <c r="JC5" i="1"/>
  <c r="CE10" i="1"/>
  <c r="CW10" i="1" s="1"/>
  <c r="IK10" i="1" s="1"/>
  <c r="CI14" i="1"/>
  <c r="IS20" i="1"/>
  <c r="KO20" i="1" s="1"/>
  <c r="KC20" i="1"/>
  <c r="KQ20" i="1" s="1"/>
  <c r="CX18" i="1"/>
  <c r="IL18" i="1" s="1"/>
  <c r="KS22" i="1"/>
  <c r="BC4" i="1"/>
  <c r="JS7" i="1"/>
  <c r="AT5" i="1"/>
  <c r="IJ8" i="1"/>
  <c r="BF10" i="1"/>
  <c r="KK10" i="1" s="1"/>
  <c r="BQ19" i="1"/>
  <c r="BR19" i="1" s="1"/>
  <c r="HS19" i="1"/>
  <c r="GJ19" i="1"/>
  <c r="BJ5" i="2"/>
  <c r="FF5" i="2" s="1"/>
  <c r="DT6" i="2"/>
  <c r="DA6" i="2"/>
  <c r="KD5" i="1"/>
  <c r="DF7" i="1"/>
  <c r="IT7" i="1" s="1"/>
  <c r="BD7" i="1"/>
  <c r="DM39" i="2"/>
  <c r="EF39" i="2"/>
  <c r="KB5" i="1"/>
  <c r="DZ12" i="1"/>
  <c r="FJ12" i="1" s="1"/>
  <c r="DH12" i="1"/>
  <c r="IV12" i="1" s="1"/>
  <c r="KO12" i="1" s="1"/>
  <c r="GR18" i="1"/>
  <c r="GT18" i="1"/>
  <c r="HU18" i="1"/>
  <c r="HB19" i="1"/>
  <c r="BR4" i="1"/>
  <c r="BX4" i="1" s="1"/>
  <c r="BV4" i="1"/>
  <c r="CI4" i="1"/>
  <c r="DR4" i="1"/>
  <c r="FB4" i="1" s="1"/>
  <c r="JX4" i="1" s="1"/>
  <c r="CZ4" i="1"/>
  <c r="IN4" i="1" s="1"/>
  <c r="EO10" i="1"/>
  <c r="JK10" i="1" s="1"/>
  <c r="KR10" i="1" s="1"/>
  <c r="IG20" i="1"/>
  <c r="JQ20" i="1"/>
  <c r="IJ5" i="1"/>
  <c r="JT5" i="1"/>
  <c r="CX8" i="1"/>
  <c r="IL8" i="1" s="1"/>
  <c r="JD8" i="1"/>
  <c r="EZ10" i="1"/>
  <c r="JV10" i="1" s="1"/>
  <c r="EP10" i="1"/>
  <c r="AZ18" i="1"/>
  <c r="DB18" i="1"/>
  <c r="JA5" i="1"/>
  <c r="KJ6" i="1"/>
  <c r="CF10" i="1"/>
  <c r="CX10" i="1" s="1"/>
  <c r="IL10" i="1" s="1"/>
  <c r="JX10" i="1"/>
  <c r="V13" i="1"/>
  <c r="KG13" i="1" s="1"/>
  <c r="KH13" i="1" s="1"/>
  <c r="T13" i="1"/>
  <c r="BD13" i="1" s="1"/>
  <c r="AW13" i="1"/>
  <c r="AS5" i="1"/>
  <c r="HW7" i="1"/>
  <c r="EP16" i="1"/>
  <c r="JH16" i="1"/>
  <c r="HT8" i="1"/>
  <c r="GT8" i="1"/>
  <c r="FF4" i="1"/>
  <c r="KB4" i="1" s="1"/>
  <c r="EZ5" i="1"/>
  <c r="JV5" i="1" s="1"/>
  <c r="ID10" i="1"/>
  <c r="IF18" i="1"/>
  <c r="CP19" i="1"/>
  <c r="JB19" i="1"/>
  <c r="BC5" i="2"/>
  <c r="AT14" i="1"/>
  <c r="AA14" i="1"/>
  <c r="CV14" i="1"/>
  <c r="JS16" i="1"/>
  <c r="ER18" i="1"/>
  <c r="FJ34" i="2"/>
  <c r="FN34" i="2" s="1"/>
  <c r="FA34" i="2"/>
  <c r="JH7" i="1"/>
  <c r="EP7" i="1"/>
  <c r="JL7" i="1" s="1"/>
  <c r="IL5" i="1"/>
  <c r="JD7" i="1"/>
  <c r="GT7" i="1"/>
  <c r="JT16" i="1"/>
  <c r="AS19" i="1"/>
  <c r="CU19" i="1"/>
  <c r="BJ11" i="2"/>
  <c r="FF11" i="2" s="1"/>
  <c r="FF15" i="2"/>
  <c r="FA15" i="2"/>
  <c r="EC24" i="2"/>
  <c r="DJ24" i="2"/>
  <c r="DO30" i="2"/>
  <c r="FH30" i="2"/>
  <c r="EH30" i="2"/>
  <c r="DH8" i="1"/>
  <c r="IV8" i="1" s="1"/>
  <c r="KO8" i="1" s="1"/>
  <c r="BF8" i="1"/>
  <c r="KK8" i="1" s="1"/>
  <c r="KI8" i="1"/>
  <c r="KJ8" i="1" s="1"/>
  <c r="DR23" i="2"/>
  <c r="EF42" i="2"/>
  <c r="DM42" i="2"/>
  <c r="JQ18" i="1"/>
  <c r="IH26" i="1"/>
  <c r="JR26" i="1"/>
  <c r="DL24" i="2"/>
  <c r="EE24" i="2"/>
  <c r="FM24" i="2" s="1"/>
  <c r="AS4" i="1"/>
  <c r="JA4" i="1"/>
  <c r="JP7" i="1"/>
  <c r="GM13" i="1"/>
  <c r="ER14" i="1"/>
  <c r="JW16" i="1"/>
  <c r="JQ25" i="1"/>
  <c r="AB4" i="1"/>
  <c r="AD4" i="1" s="1"/>
  <c r="KK6" i="1"/>
  <c r="KB12" i="1"/>
  <c r="AH14" i="1"/>
  <c r="AN14" i="1" s="1"/>
  <c r="AY14" i="1"/>
  <c r="ED14" i="1"/>
  <c r="JJ14" i="1"/>
  <c r="AU4" i="1"/>
  <c r="KC12" i="1"/>
  <c r="KT12" i="1" s="1"/>
  <c r="HA19" i="1"/>
  <c r="EP13" i="1"/>
  <c r="JL13" i="1" s="1"/>
  <c r="JH13" i="1"/>
  <c r="ER13" i="1"/>
  <c r="FJ13" i="1" s="1"/>
  <c r="EP14" i="1"/>
  <c r="KB15" i="1"/>
  <c r="HB17" i="1"/>
  <c r="HR17" i="1"/>
  <c r="JK19" i="1"/>
  <c r="KR19" i="1" s="1"/>
  <c r="KS21" i="1"/>
  <c r="DX18" i="2"/>
  <c r="DE18" i="2"/>
  <c r="FC25" i="2"/>
  <c r="IB4" i="1"/>
  <c r="BU10" i="1"/>
  <c r="DF19" i="1"/>
  <c r="IT19" i="1" s="1"/>
  <c r="AH19" i="1"/>
  <c r="HE19" i="1"/>
  <c r="HW19" i="1" s="1"/>
  <c r="HF19" i="1"/>
  <c r="HX19" i="1" s="1"/>
  <c r="IF27" i="1"/>
  <c r="JP27" i="1"/>
  <c r="DK9" i="2"/>
  <c r="ED9" i="2"/>
  <c r="JO5" i="1"/>
  <c r="DD10" i="1"/>
  <c r="IR10" i="1" s="1"/>
  <c r="JV20" i="1"/>
  <c r="AR5" i="1"/>
  <c r="CT5" i="1"/>
  <c r="IH5" i="1" s="1"/>
  <c r="BU5" i="1"/>
  <c r="HZ10" i="1"/>
  <c r="FJ17" i="1"/>
  <c r="JT21" i="1"/>
  <c r="IS26" i="1"/>
  <c r="KC26" i="1"/>
  <c r="KQ26" i="1" s="1"/>
  <c r="JQ26" i="1"/>
  <c r="DS19" i="2"/>
  <c r="CZ19" i="2"/>
  <c r="DM24" i="2"/>
  <c r="EF24" i="2"/>
  <c r="DE6" i="1"/>
  <c r="IS6" i="1" s="1"/>
  <c r="KO6" i="1" s="1"/>
  <c r="JC14" i="1"/>
  <c r="EF14" i="1"/>
  <c r="KL20" i="1"/>
  <c r="KF20" i="1"/>
  <c r="KO22" i="1"/>
  <c r="FA12" i="2"/>
  <c r="FJ12" i="2"/>
  <c r="FN12" i="2" s="1"/>
  <c r="DO35" i="2"/>
  <c r="FH35" i="2"/>
  <c r="EH35" i="2"/>
  <c r="DP44" i="2"/>
  <c r="CW44" i="2"/>
  <c r="JR22" i="1"/>
  <c r="JV24" i="1"/>
  <c r="IL24" i="1"/>
  <c r="V14" i="1"/>
  <c r="KG14" i="1" s="1"/>
  <c r="KH14" i="1" s="1"/>
  <c r="IP17" i="1"/>
  <c r="JQ17" i="1"/>
  <c r="JO18" i="1"/>
  <c r="AN19" i="1"/>
  <c r="JN19" i="1" s="1"/>
  <c r="KQ19" i="1" s="1"/>
  <c r="CY19" i="1"/>
  <c r="IM19" i="1" s="1"/>
  <c r="IK26" i="1"/>
  <c r="JU26" i="1"/>
  <c r="EA18" i="2"/>
  <c r="DH18" i="2"/>
  <c r="DV23" i="2"/>
  <c r="DO39" i="2"/>
  <c r="FH39" i="2"/>
  <c r="EH39" i="2"/>
  <c r="DQ44" i="2"/>
  <c r="CX44" i="2"/>
  <c r="DL45" i="2"/>
  <c r="EE45" i="2"/>
  <c r="FM45" i="2" s="1"/>
  <c r="FG7" i="1"/>
  <c r="KC7" i="1" s="1"/>
  <c r="KT7" i="1" s="1"/>
  <c r="JR17" i="1"/>
  <c r="CZ19" i="1"/>
  <c r="AG19" i="1"/>
  <c r="KO21" i="1"/>
  <c r="KO24" i="1"/>
  <c r="DF6" i="2"/>
  <c r="ED18" i="2"/>
  <c r="DK18" i="2"/>
  <c r="FK22" i="2"/>
  <c r="DW23" i="2"/>
  <c r="DD23" i="2"/>
  <c r="FJ29" i="2"/>
  <c r="FN29" i="2" s="1"/>
  <c r="FA29" i="2"/>
  <c r="EF33" i="2"/>
  <c r="DM33" i="2"/>
  <c r="FG38" i="2"/>
  <c r="FK38" i="2"/>
  <c r="FL29" i="2"/>
  <c r="FI29" i="2"/>
  <c r="ET35" i="2"/>
  <c r="BJ35" i="2"/>
  <c r="FF35" i="2" s="1"/>
  <c r="FG35" i="2" s="1"/>
  <c r="EQ11" i="2"/>
  <c r="DX11" i="2"/>
  <c r="CV11" i="2"/>
  <c r="JJ5" i="1"/>
  <c r="BP10" i="1"/>
  <c r="BV10" i="1" s="1"/>
  <c r="HR19" i="1"/>
  <c r="JO23" i="1"/>
  <c r="ES4" i="2"/>
  <c r="BC4" i="2"/>
  <c r="ET4" i="2" s="1"/>
  <c r="CV7" i="2"/>
  <c r="DS26" i="2"/>
  <c r="CZ26" i="2"/>
  <c r="FK29" i="2"/>
  <c r="EH38" i="2"/>
  <c r="FJ38" i="2"/>
  <c r="FA38" i="2"/>
  <c r="Z10" i="2"/>
  <c r="FB10" i="2" s="1"/>
  <c r="CO11" i="2"/>
  <c r="EY27" i="2"/>
  <c r="DM27" i="2"/>
  <c r="FN32" i="2"/>
  <c r="FH42" i="2"/>
  <c r="EH42" i="2"/>
  <c r="DO42" i="2"/>
  <c r="BB14" i="1"/>
  <c r="Z14" i="1"/>
  <c r="BB16" i="1"/>
  <c r="DB16" i="1"/>
  <c r="IP16" i="1" s="1"/>
  <c r="HL17" i="1"/>
  <c r="JE18" i="1"/>
  <c r="AW19" i="1"/>
  <c r="JR23" i="1"/>
  <c r="DY6" i="2"/>
  <c r="DG10" i="2"/>
  <c r="FL26" i="2"/>
  <c r="FC29" i="2"/>
  <c r="FJ30" i="2"/>
  <c r="FN30" i="2" s="1"/>
  <c r="FA30" i="2"/>
  <c r="DE16" i="1"/>
  <c r="IS16" i="1" s="1"/>
  <c r="KP16" i="1" s="1"/>
  <c r="BC16" i="1"/>
  <c r="DD16" i="1"/>
  <c r="IR16" i="1" s="1"/>
  <c r="KI17" i="1"/>
  <c r="KJ17" i="1" s="1"/>
  <c r="K19" i="1"/>
  <c r="L19" i="1" s="1"/>
  <c r="AX19" i="1"/>
  <c r="KB20" i="1"/>
  <c r="JS23" i="1"/>
  <c r="JV26" i="1"/>
  <c r="DD27" i="1"/>
  <c r="IR27" i="1" s="1"/>
  <c r="KO27" i="1" s="1"/>
  <c r="BB27" i="1"/>
  <c r="KK27" i="1" s="1"/>
  <c r="KI27" i="1"/>
  <c r="JJ27" i="1"/>
  <c r="DZ27" i="1"/>
  <c r="FJ27" i="1" s="1"/>
  <c r="FF27" i="1"/>
  <c r="DP9" i="2"/>
  <c r="CW9" i="2"/>
  <c r="AK10" i="2"/>
  <c r="AL10" i="2" s="1"/>
  <c r="CY15" i="2"/>
  <c r="DR15" i="2"/>
  <c r="DO24" i="2"/>
  <c r="FH24" i="2"/>
  <c r="EH24" i="2"/>
  <c r="FN26" i="2"/>
  <c r="CZ27" i="2"/>
  <c r="DS27" i="2"/>
  <c r="DO28" i="2"/>
  <c r="EH28" i="2"/>
  <c r="FH28" i="2"/>
  <c r="EH29" i="2"/>
  <c r="ES31" i="2"/>
  <c r="DG31" i="2"/>
  <c r="BJ31" i="2"/>
  <c r="FF31" i="2" s="1"/>
  <c r="FG31" i="2" s="1"/>
  <c r="BC31" i="2"/>
  <c r="ET31" i="2" s="1"/>
  <c r="GN7" i="1"/>
  <c r="GR7" i="1"/>
  <c r="DD11" i="1"/>
  <c r="IR11" i="1" s="1"/>
  <c r="KP11" i="1" s="1"/>
  <c r="CD14" i="1"/>
  <c r="GT16" i="1"/>
  <c r="HO17" i="1"/>
  <c r="JL19" i="1"/>
  <c r="IE21" i="1"/>
  <c r="JO21" i="1"/>
  <c r="BN15" i="2"/>
  <c r="FK26" i="2"/>
  <c r="AN16" i="1"/>
  <c r="HN17" i="1"/>
  <c r="JV25" i="1"/>
  <c r="BJ10" i="2"/>
  <c r="FF10" i="2" s="1"/>
  <c r="EE27" i="2"/>
  <c r="FM27" i="2" s="1"/>
  <c r="DL27" i="2"/>
  <c r="EX28" i="2"/>
  <c r="EE28" i="2"/>
  <c r="EV5" i="1"/>
  <c r="JR5" i="1" s="1"/>
  <c r="JL8" i="1"/>
  <c r="CZ13" i="1"/>
  <c r="IN13" i="1" s="1"/>
  <c r="JP13" i="1"/>
  <c r="FA14" i="1"/>
  <c r="JW14" i="1" s="1"/>
  <c r="ET16" i="1"/>
  <c r="JP16" i="1" s="1"/>
  <c r="HP17" i="1"/>
  <c r="JW18" i="1"/>
  <c r="HS18" i="1"/>
  <c r="BV4" i="2"/>
  <c r="DF4" i="2"/>
  <c r="KB26" i="1"/>
  <c r="ER4" i="2"/>
  <c r="BJ4" i="2"/>
  <c r="DZ8" i="2"/>
  <c r="BW8" i="2"/>
  <c r="DG8" i="2"/>
  <c r="FG16" i="2"/>
  <c r="DM37" i="2"/>
  <c r="EF37" i="2"/>
  <c r="ES11" i="2"/>
  <c r="DF14" i="2"/>
  <c r="BZ15" i="2"/>
  <c r="DT15" i="2"/>
  <c r="BZ23" i="2"/>
  <c r="DB23" i="2"/>
  <c r="DL42" i="2"/>
  <c r="EE42" i="2"/>
  <c r="FM42" i="2" s="1"/>
  <c r="DL44" i="2"/>
  <c r="EE44" i="2"/>
  <c r="FM44" i="2" s="1"/>
  <c r="IV26" i="1"/>
  <c r="KF26" i="1"/>
  <c r="KT27" i="1"/>
  <c r="KQ27" i="1"/>
  <c r="DO9" i="2"/>
  <c r="FH9" i="2"/>
  <c r="CW17" i="2"/>
  <c r="EA32" i="2"/>
  <c r="DH32" i="2"/>
  <c r="ED42" i="2"/>
  <c r="EW42" i="2"/>
  <c r="HR13" i="1"/>
  <c r="JS20" i="1"/>
  <c r="EY9" i="2"/>
  <c r="BB14" i="2"/>
  <c r="FA39" i="2"/>
  <c r="DC43" i="2"/>
  <c r="DV43" i="2"/>
  <c r="BV7" i="2"/>
  <c r="DY7" i="2"/>
  <c r="T8" i="2"/>
  <c r="U8" i="2" s="1"/>
  <c r="FA9" i="2"/>
  <c r="FH16" i="2"/>
  <c r="DO16" i="2"/>
  <c r="EH16" i="2"/>
  <c r="DG23" i="2"/>
  <c r="DZ23" i="2"/>
  <c r="CA23" i="2"/>
  <c r="ED32" i="2"/>
  <c r="DK32" i="2"/>
  <c r="DB40" i="2"/>
  <c r="DU40" i="2"/>
  <c r="BZ40" i="2"/>
  <c r="EA10" i="2"/>
  <c r="CC10" i="2"/>
  <c r="ED16" i="2"/>
  <c r="EW16" i="2"/>
  <c r="EA23" i="2"/>
  <c r="DH23" i="2"/>
  <c r="EE32" i="2"/>
  <c r="FM32" i="2" s="1"/>
  <c r="DL32" i="2"/>
  <c r="FJ42" i="2"/>
  <c r="FN42" i="2" s="1"/>
  <c r="FA42" i="2"/>
  <c r="ER7" i="2"/>
  <c r="FN9" i="2"/>
  <c r="EE12" i="2"/>
  <c r="FM12" i="2" s="1"/>
  <c r="DL12" i="2"/>
  <c r="FL20" i="2"/>
  <c r="CA32" i="2"/>
  <c r="DW40" i="2"/>
  <c r="DD40" i="2"/>
  <c r="JV11" i="1"/>
  <c r="JH18" i="1"/>
  <c r="CD19" i="1"/>
  <c r="CV19" i="1" s="1"/>
  <c r="CE19" i="1"/>
  <c r="CC19" i="1"/>
  <c r="CO7" i="2"/>
  <c r="EW12" i="2"/>
  <c r="DZ14" i="2"/>
  <c r="CC14" i="2"/>
  <c r="DL21" i="2"/>
  <c r="EE21" i="2"/>
  <c r="FM21" i="2" s="1"/>
  <c r="EF31" i="2"/>
  <c r="CC32" i="2"/>
  <c r="AY13" i="1"/>
  <c r="DA13" i="1"/>
  <c r="IO13" i="1" s="1"/>
  <c r="FB16" i="1"/>
  <c r="JX16" i="1" s="1"/>
  <c r="DF17" i="1"/>
  <c r="ED18" i="1"/>
  <c r="IZ18" i="1" s="1"/>
  <c r="JJ18" i="1"/>
  <c r="JA19" i="1"/>
  <c r="FH12" i="2"/>
  <c r="EH12" i="2"/>
  <c r="FK13" i="2"/>
  <c r="BW14" i="2"/>
  <c r="CZ17" i="2"/>
  <c r="DS17" i="2"/>
  <c r="DM21" i="2"/>
  <c r="EF21" i="2"/>
  <c r="CC23" i="2"/>
  <c r="ED30" i="2"/>
  <c r="DK30" i="2"/>
  <c r="EX37" i="2"/>
  <c r="DL37" i="2"/>
  <c r="CO14" i="2"/>
  <c r="CV14" i="2" s="1"/>
  <c r="DX14" i="2"/>
  <c r="BZ17" i="2"/>
  <c r="DT17" i="2"/>
  <c r="CC8" i="2"/>
  <c r="DY8" i="2"/>
  <c r="AK11" i="2"/>
  <c r="AL11" i="2" s="1"/>
  <c r="DU16" i="2"/>
  <c r="BZ16" i="2"/>
  <c r="EH17" i="2"/>
  <c r="DO17" i="2"/>
  <c r="DF18" i="2"/>
  <c r="DY18" i="2"/>
  <c r="DZ32" i="2"/>
  <c r="DG32" i="2"/>
  <c r="EH33" i="2"/>
  <c r="FH33" i="2"/>
  <c r="DM35" i="2"/>
  <c r="JQ27" i="1"/>
  <c r="AX4" i="2"/>
  <c r="EN4" i="2"/>
  <c r="DH15" i="2"/>
  <c r="FN27" i="2"/>
  <c r="EN29" i="2"/>
  <c r="BG29" i="2"/>
  <c r="BN19" i="1"/>
  <c r="JE19" i="1"/>
  <c r="JP21" i="1"/>
  <c r="JT26" i="1"/>
  <c r="EH13" i="2"/>
  <c r="FN16" i="2"/>
  <c r="ED36" i="2"/>
  <c r="DK36" i="2"/>
  <c r="DK37" i="2"/>
  <c r="ED37" i="2"/>
  <c r="DX43" i="2"/>
  <c r="CC43" i="2"/>
  <c r="CA43" i="2"/>
  <c r="DE43" i="2"/>
  <c r="HF18" i="1"/>
  <c r="BM19" i="1"/>
  <c r="JS25" i="1"/>
  <c r="BR6" i="2"/>
  <c r="DF8" i="2"/>
  <c r="DX15" i="2"/>
  <c r="DZ19" i="2"/>
  <c r="DO20" i="2"/>
  <c r="FF20" i="2"/>
  <c r="FC27" i="2"/>
  <c r="CA6" i="2"/>
  <c r="DO19" i="2"/>
  <c r="FH19" i="2"/>
  <c r="BG25" i="2"/>
  <c r="FG25" i="2" s="1"/>
  <c r="EN25" i="2"/>
  <c r="ET34" i="2"/>
  <c r="DO37" i="2"/>
  <c r="FH37" i="2"/>
  <c r="EH37" i="2"/>
  <c r="DL9" i="2"/>
  <c r="FJ10" i="2"/>
  <c r="FA22" i="2"/>
  <c r="FJ22" i="2"/>
  <c r="CX23" i="2"/>
  <c r="EX26" i="2"/>
  <c r="FA26" i="2"/>
  <c r="DU31" i="2"/>
  <c r="BR31" i="2"/>
  <c r="FH36" i="2"/>
  <c r="EH36" i="2"/>
  <c r="DO36" i="2"/>
  <c r="AK8" i="2"/>
  <c r="AL8" i="2" s="1"/>
  <c r="EA15" i="2"/>
  <c r="EX19" i="2"/>
  <c r="FN19" i="2"/>
  <c r="DL20" i="2"/>
  <c r="EE20" i="2"/>
  <c r="FM20" i="2" s="1"/>
  <c r="CZ23" i="2"/>
  <c r="DS30" i="2"/>
  <c r="CZ30" i="2"/>
  <c r="FD16" i="1"/>
  <c r="DZ16" i="1"/>
  <c r="FJ16" i="1" s="1"/>
  <c r="CI17" i="1"/>
  <c r="JU20" i="1"/>
  <c r="JU24" i="1"/>
  <c r="T5" i="2"/>
  <c r="U5" i="2" s="1"/>
  <c r="DH6" i="2"/>
  <c r="FG12" i="2"/>
  <c r="BG16" i="2"/>
  <c r="EX16" i="2" s="1"/>
  <c r="EH19" i="2"/>
  <c r="DM20" i="2"/>
  <c r="EF20" i="2"/>
  <c r="DO31" i="2"/>
  <c r="FH31" i="2"/>
  <c r="EH31" i="2"/>
  <c r="CZ14" i="1"/>
  <c r="IN14" i="1" s="1"/>
  <c r="KC25" i="1"/>
  <c r="KQ25" i="1" s="1"/>
  <c r="BQ4" i="2"/>
  <c r="DS12" i="2"/>
  <c r="CZ12" i="2"/>
  <c r="FF26" i="2"/>
  <c r="FG26" i="2" s="1"/>
  <c r="DK33" i="2"/>
  <c r="ED33" i="2"/>
  <c r="BW35" i="2"/>
  <c r="KB24" i="1"/>
  <c r="KS24" i="1" s="1"/>
  <c r="DM12" i="2"/>
  <c r="DL25" i="2"/>
  <c r="DC30" i="2"/>
  <c r="DV30" i="2"/>
  <c r="EE33" i="2"/>
  <c r="FM33" i="2" s="1"/>
  <c r="DO33" i="2"/>
  <c r="EA34" i="2"/>
  <c r="CC34" i="2"/>
  <c r="FA36" i="2"/>
  <c r="FJ36" i="2"/>
  <c r="FN36" i="2" s="1"/>
  <c r="DO15" i="2"/>
  <c r="FH15" i="2"/>
  <c r="EH15" i="2"/>
  <c r="FI21" i="2"/>
  <c r="ED24" i="2"/>
  <c r="DB27" i="2"/>
  <c r="BZ30" i="2"/>
  <c r="DF32" i="2"/>
  <c r="DY32" i="2"/>
  <c r="EY38" i="2"/>
  <c r="EY41" i="2"/>
  <c r="EY32" i="2"/>
  <c r="DO44" i="2"/>
  <c r="FH44" i="2"/>
  <c r="EH44" i="2"/>
  <c r="DF11" i="2"/>
  <c r="EE34" i="2"/>
  <c r="FM34" i="2" s="1"/>
  <c r="BR34" i="2"/>
  <c r="EE36" i="2"/>
  <c r="FM36" i="2" s="1"/>
  <c r="DX8" i="2"/>
  <c r="EQ8" i="2"/>
  <c r="DG11" i="2"/>
  <c r="FA18" i="2"/>
  <c r="DB25" i="2"/>
  <c r="DU25" i="2"/>
  <c r="DM25" i="2"/>
  <c r="DH31" i="2"/>
  <c r="CX32" i="2"/>
  <c r="DQ32" i="2"/>
  <c r="FG37" i="2"/>
  <c r="DE41" i="2"/>
  <c r="DX41" i="2"/>
  <c r="DF41" i="2"/>
  <c r="DY41" i="2"/>
  <c r="DC35" i="2"/>
  <c r="DV35" i="2"/>
  <c r="BZ35" i="2"/>
  <c r="DB38" i="2"/>
  <c r="DU38" i="2"/>
  <c r="DM44" i="2"/>
  <c r="DA19" i="2"/>
  <c r="DT19" i="2"/>
  <c r="FL21" i="2"/>
  <c r="DK34" i="2"/>
  <c r="ED34" i="2"/>
  <c r="BZ38" i="2"/>
  <c r="DO38" i="2"/>
  <c r="CA40" i="2"/>
  <c r="EE41" i="2"/>
  <c r="FM41" i="2" s="1"/>
  <c r="EY43" i="2"/>
  <c r="ES5" i="2"/>
  <c r="CV8" i="2"/>
  <c r="EQ13" i="2"/>
  <c r="ED17" i="2"/>
  <c r="DF19" i="2"/>
  <c r="DF24" i="2"/>
  <c r="DY24" i="2"/>
  <c r="EY26" i="2"/>
  <c r="DM29" i="2"/>
  <c r="EF29" i="2"/>
  <c r="EF38" i="2"/>
  <c r="CC40" i="2"/>
  <c r="CA41" i="2"/>
  <c r="FJ43" i="2"/>
  <c r="FN43" i="2" s="1"/>
  <c r="FA43" i="2"/>
  <c r="EX44" i="2"/>
  <c r="FN45" i="2"/>
  <c r="ER13" i="2"/>
  <c r="FE23" i="2"/>
  <c r="EW26" i="2"/>
  <c r="DK31" i="2"/>
  <c r="ED31" i="2"/>
  <c r="DC32" i="2"/>
  <c r="DV32" i="2"/>
  <c r="CT34" i="2"/>
  <c r="EY34" i="2" s="1"/>
  <c r="DE36" i="2"/>
  <c r="DX36" i="2"/>
  <c r="AQ40" i="2"/>
  <c r="FD40" i="2" s="1"/>
  <c r="FE40" i="2" s="1"/>
  <c r="CC41" i="2"/>
  <c r="EY44" i="2"/>
  <c r="GT17" i="1"/>
  <c r="CC11" i="2"/>
  <c r="T14" i="2"/>
  <c r="U14" i="2" s="1"/>
  <c r="CA17" i="2"/>
  <c r="EY25" i="2"/>
  <c r="AL40" i="2"/>
  <c r="EX40" i="2"/>
  <c r="FJ44" i="2"/>
  <c r="FN44" i="2" s="1"/>
  <c r="FA44" i="2"/>
  <c r="BZ43" i="2"/>
  <c r="DC44" i="2"/>
  <c r="EA44" i="2"/>
  <c r="DR45" i="2"/>
  <c r="DS45" i="2"/>
  <c r="DP43" i="2"/>
  <c r="DT45" i="2"/>
  <c r="DU45" i="2"/>
  <c r="DE31" i="2"/>
  <c r="DY34" i="2"/>
  <c r="DQ40" i="2"/>
  <c r="DR43" i="2"/>
  <c r="DG44" i="2"/>
  <c r="EF44" i="2"/>
  <c r="CX45" i="2"/>
  <c r="DV45" i="2"/>
  <c r="EE31" i="2"/>
  <c r="FM31" i="2" s="1"/>
  <c r="DZ34" i="2"/>
  <c r="DE37" i="2"/>
  <c r="DE39" i="2"/>
  <c r="ED39" i="2"/>
  <c r="DR40" i="2"/>
  <c r="DU43" i="2"/>
  <c r="DY45" i="2"/>
  <c r="FA45" i="2"/>
  <c r="DE45" i="2"/>
  <c r="ED45" i="2"/>
  <c r="CT30" i="2"/>
  <c r="CA45" i="2"/>
  <c r="KI14" i="1" l="1"/>
  <c r="KJ14" i="1" s="1"/>
  <c r="BF14" i="1"/>
  <c r="KK14" i="1" s="1"/>
  <c r="FJ14" i="2"/>
  <c r="JT19" i="1"/>
  <c r="IJ19" i="1"/>
  <c r="JD4" i="1"/>
  <c r="CX4" i="1"/>
  <c r="IL4" i="1" s="1"/>
  <c r="AV4" i="1"/>
  <c r="KL13" i="1"/>
  <c r="IT8" i="1"/>
  <c r="KD8" i="1"/>
  <c r="CA4" i="2"/>
  <c r="CN14" i="1"/>
  <c r="CN4" i="1"/>
  <c r="DX4" i="1" s="1"/>
  <c r="DW31" i="2"/>
  <c r="DD31" i="2"/>
  <c r="KD17" i="1"/>
  <c r="IT17" i="1"/>
  <c r="FL15" i="2"/>
  <c r="FI15" i="2"/>
  <c r="FK15" i="2"/>
  <c r="DL16" i="2"/>
  <c r="EE16" i="2"/>
  <c r="FM16" i="2" s="1"/>
  <c r="KL14" i="1"/>
  <c r="EX29" i="2"/>
  <c r="FG29" i="2"/>
  <c r="DH16" i="1"/>
  <c r="IV16" i="1" s="1"/>
  <c r="KO16" i="1" s="1"/>
  <c r="KI16" i="1"/>
  <c r="KJ16" i="1" s="1"/>
  <c r="BF16" i="1"/>
  <c r="KK16" i="1" s="1"/>
  <c r="DM17" i="2"/>
  <c r="EF17" i="2"/>
  <c r="DL29" i="2"/>
  <c r="AN4" i="1"/>
  <c r="IB18" i="1"/>
  <c r="CW19" i="1"/>
  <c r="JC19" i="1"/>
  <c r="AU19" i="1"/>
  <c r="JT10" i="1"/>
  <c r="FJ10" i="1"/>
  <c r="DM41" i="2"/>
  <c r="EF41" i="2"/>
  <c r="FL19" i="2"/>
  <c r="FK19" i="2"/>
  <c r="FI19" i="2"/>
  <c r="FJ7" i="2"/>
  <c r="GN13" i="1"/>
  <c r="HW13" i="1"/>
  <c r="FG15" i="2"/>
  <c r="FN15" i="2"/>
  <c r="CV10" i="1"/>
  <c r="IJ10" i="1" s="1"/>
  <c r="CM10" i="1"/>
  <c r="DE10" i="1" s="1"/>
  <c r="IS10" i="1" s="1"/>
  <c r="KP10" i="1" s="1"/>
  <c r="DO11" i="2"/>
  <c r="FH11" i="2"/>
  <c r="EH11" i="2"/>
  <c r="FH40" i="2"/>
  <c r="EH40" i="2"/>
  <c r="DO40" i="2"/>
  <c r="FK31" i="2"/>
  <c r="FI31" i="2"/>
  <c r="FL31" i="2"/>
  <c r="AQ11" i="2"/>
  <c r="FD11" i="2" s="1"/>
  <c r="FK12" i="2"/>
  <c r="FL12" i="2"/>
  <c r="FI12" i="2"/>
  <c r="HJ19" i="1"/>
  <c r="JY13" i="1"/>
  <c r="IP18" i="1"/>
  <c r="JZ18" i="1"/>
  <c r="HT17" i="1"/>
  <c r="FH7" i="1"/>
  <c r="KD7" i="1" s="1"/>
  <c r="DM6" i="2"/>
  <c r="EF6" i="2"/>
  <c r="DL17" i="2"/>
  <c r="EE17" i="2"/>
  <c r="FM17" i="2" s="1"/>
  <c r="FI17" i="2"/>
  <c r="DA19" i="1"/>
  <c r="AY19" i="1"/>
  <c r="JG19" i="1"/>
  <c r="DH19" i="2"/>
  <c r="EA19" i="2"/>
  <c r="FJ11" i="2"/>
  <c r="FN11" i="2" s="1"/>
  <c r="FA11" i="2"/>
  <c r="FL16" i="2"/>
  <c r="FK16" i="2"/>
  <c r="FI16" i="2"/>
  <c r="CZ15" i="2"/>
  <c r="DS15" i="2"/>
  <c r="AL14" i="1"/>
  <c r="FH16" i="1"/>
  <c r="KD16" i="1" s="1"/>
  <c r="JL16" i="1"/>
  <c r="KD19" i="1"/>
  <c r="AL4" i="1"/>
  <c r="EF30" i="2"/>
  <c r="EY30" i="2"/>
  <c r="FN22" i="2"/>
  <c r="FL22" i="2"/>
  <c r="AY4" i="2"/>
  <c r="EP4" i="2" s="1"/>
  <c r="BG4" i="2"/>
  <c r="EX4" i="2" s="1"/>
  <c r="EO4" i="2"/>
  <c r="KS26" i="1"/>
  <c r="FL24" i="2"/>
  <c r="FK24" i="2"/>
  <c r="FI24" i="2"/>
  <c r="FK42" i="2"/>
  <c r="FI42" i="2"/>
  <c r="FL42" i="2"/>
  <c r="KL17" i="1"/>
  <c r="JV7" i="1"/>
  <c r="JZ19" i="1"/>
  <c r="DL26" i="2"/>
  <c r="EE26" i="2"/>
  <c r="FM26" i="2" s="1"/>
  <c r="AZ14" i="1"/>
  <c r="FL45" i="2"/>
  <c r="FK45" i="2"/>
  <c r="FI45" i="2"/>
  <c r="KO26" i="1"/>
  <c r="KF19" i="1"/>
  <c r="KS19" i="1" s="1"/>
  <c r="KL19" i="1"/>
  <c r="EA35" i="2"/>
  <c r="DH35" i="2"/>
  <c r="DA17" i="1"/>
  <c r="CH17" i="1"/>
  <c r="FN10" i="2"/>
  <c r="HL18" i="1"/>
  <c r="HJ18" i="1"/>
  <c r="Z8" i="2"/>
  <c r="FB8" i="2" s="1"/>
  <c r="BW4" i="2"/>
  <c r="DG4" i="2"/>
  <c r="DZ4" i="2"/>
  <c r="CC4" i="2"/>
  <c r="AD19" i="1"/>
  <c r="JN18" i="1"/>
  <c r="KQ18" i="1" s="1"/>
  <c r="FJ18" i="1"/>
  <c r="HT19" i="1"/>
  <c r="JL4" i="1"/>
  <c r="ER4" i="1"/>
  <c r="FI18" i="2"/>
  <c r="FK18" i="2"/>
  <c r="FL18" i="2"/>
  <c r="FK28" i="2"/>
  <c r="FL28" i="2"/>
  <c r="FI28" i="2"/>
  <c r="FJ8" i="2"/>
  <c r="FN8" i="2" s="1"/>
  <c r="FA8" i="2"/>
  <c r="EA11" i="2"/>
  <c r="ET11" i="2"/>
  <c r="AT4" i="1"/>
  <c r="JB4" i="1"/>
  <c r="FL6" i="2"/>
  <c r="FK6" i="2"/>
  <c r="FI6" i="2"/>
  <c r="KI19" i="1"/>
  <c r="KJ19" i="1" s="1"/>
  <c r="DH19" i="1"/>
  <c r="IV19" i="1" s="1"/>
  <c r="KO19" i="1" s="1"/>
  <c r="BF19" i="1"/>
  <c r="KK19" i="1" s="1"/>
  <c r="II19" i="1"/>
  <c r="JS19" i="1"/>
  <c r="KL12" i="1"/>
  <c r="KF12" i="1"/>
  <c r="KS12" i="1" s="1"/>
  <c r="FJ7" i="1"/>
  <c r="DQ7" i="1"/>
  <c r="FA7" i="1" s="1"/>
  <c r="JW7" i="1" s="1"/>
  <c r="DR7" i="1"/>
  <c r="JL10" i="1"/>
  <c r="FH10" i="1"/>
  <c r="KD10" i="1" s="1"/>
  <c r="DO41" i="2"/>
  <c r="EH41" i="2"/>
  <c r="FH41" i="2"/>
  <c r="FK20" i="2"/>
  <c r="FG20" i="2"/>
  <c r="EF32" i="2"/>
  <c r="DM32" i="2"/>
  <c r="DB19" i="1"/>
  <c r="IP19" i="1" s="1"/>
  <c r="AZ19" i="1"/>
  <c r="JH19" i="1"/>
  <c r="EV18" i="1"/>
  <c r="JR18" i="1" s="1"/>
  <c r="KN7" i="1"/>
  <c r="KI7" i="1"/>
  <c r="KJ7" i="1" s="1"/>
  <c r="BF7" i="1"/>
  <c r="KK7" i="1" s="1"/>
  <c r="DH7" i="1"/>
  <c r="IV7" i="1" s="1"/>
  <c r="KO7" i="1" s="1"/>
  <c r="AR14" i="1"/>
  <c r="CT14" i="1"/>
  <c r="IZ14" i="1"/>
  <c r="BJ14" i="1"/>
  <c r="FF4" i="2"/>
  <c r="FA4" i="2"/>
  <c r="IN19" i="1"/>
  <c r="JX19" i="1"/>
  <c r="JN16" i="1"/>
  <c r="KQ16" i="1" s="1"/>
  <c r="DM45" i="2"/>
  <c r="EF45" i="2"/>
  <c r="CJ4" i="1"/>
  <c r="DB4" i="1" s="1"/>
  <c r="IP4" i="1" s="1"/>
  <c r="DS4" i="1"/>
  <c r="FC4" i="1" s="1"/>
  <c r="CN13" i="1"/>
  <c r="DF13" i="1" s="1"/>
  <c r="IT13" i="1" s="1"/>
  <c r="CP13" i="1"/>
  <c r="JN9" i="1"/>
  <c r="KQ9" i="1" s="1"/>
  <c r="FJ9" i="1"/>
  <c r="BX10" i="1"/>
  <c r="CW18" i="1"/>
  <c r="CD18" i="1"/>
  <c r="CP4" i="1"/>
  <c r="DL43" i="2"/>
  <c r="EE43" i="2"/>
  <c r="FM43" i="2" s="1"/>
  <c r="EF40" i="2"/>
  <c r="DM40" i="2"/>
  <c r="FN31" i="2"/>
  <c r="AQ8" i="2"/>
  <c r="FD8" i="2" s="1"/>
  <c r="DO43" i="2"/>
  <c r="FH43" i="2"/>
  <c r="EH43" i="2"/>
  <c r="BW7" i="2"/>
  <c r="DZ7" i="2"/>
  <c r="DG7" i="2"/>
  <c r="FL39" i="2"/>
  <c r="FK39" i="2"/>
  <c r="FI39" i="2"/>
  <c r="BX19" i="1"/>
  <c r="BJ7" i="2"/>
  <c r="FF7" i="2" s="1"/>
  <c r="JV8" i="1"/>
  <c r="CY10" i="1"/>
  <c r="CP10" i="1"/>
  <c r="DH10" i="1" s="1"/>
  <c r="IV10" i="1" s="1"/>
  <c r="KO10" i="1" s="1"/>
  <c r="CN10" i="1"/>
  <c r="DF10" i="1" s="1"/>
  <c r="IT10" i="1" s="1"/>
  <c r="JN7" i="1"/>
  <c r="KQ7" i="1" s="1"/>
  <c r="Z14" i="2"/>
  <c r="FB14" i="2" s="1"/>
  <c r="DL30" i="2"/>
  <c r="EE30" i="2"/>
  <c r="FM30" i="2" s="1"/>
  <c r="ES7" i="2"/>
  <c r="DN14" i="1"/>
  <c r="EX14" i="1" s="1"/>
  <c r="JT14" i="1" s="1"/>
  <c r="CC14" i="1"/>
  <c r="CU14" i="1"/>
  <c r="AD14" i="1"/>
  <c r="AS14" i="1"/>
  <c r="JV16" i="1"/>
  <c r="DL35" i="2"/>
  <c r="EE35" i="2"/>
  <c r="FM35" i="2" s="1"/>
  <c r="FL9" i="2"/>
  <c r="FK9" i="2"/>
  <c r="FI9" i="2"/>
  <c r="EF34" i="2"/>
  <c r="EH23" i="2"/>
  <c r="FH23" i="2"/>
  <c r="DO23" i="2"/>
  <c r="ID16" i="1"/>
  <c r="KN16" i="1"/>
  <c r="EE38" i="2"/>
  <c r="FM38" i="2" s="1"/>
  <c r="DL38" i="2"/>
  <c r="FI38" i="2"/>
  <c r="FL37" i="2"/>
  <c r="FI37" i="2"/>
  <c r="FK37" i="2"/>
  <c r="ET7" i="2"/>
  <c r="EE23" i="2"/>
  <c r="FM23" i="2" s="1"/>
  <c r="DL23" i="2"/>
  <c r="KB27" i="1"/>
  <c r="AQ10" i="2"/>
  <c r="FD10" i="2" s="1"/>
  <c r="FN38" i="2"/>
  <c r="FL38" i="2"/>
  <c r="FL30" i="2"/>
  <c r="FK30" i="2"/>
  <c r="FI30" i="2"/>
  <c r="IN10" i="1"/>
  <c r="CZ35" i="2"/>
  <c r="DS35" i="2"/>
  <c r="KB19" i="1"/>
  <c r="ET5" i="2"/>
  <c r="BW5" i="2"/>
  <c r="DG5" i="2"/>
  <c r="DZ5" i="2"/>
  <c r="HX18" i="1"/>
  <c r="DM23" i="2"/>
  <c r="EF23" i="2"/>
  <c r="BD18" i="1"/>
  <c r="DF18" i="1"/>
  <c r="DD34" i="2"/>
  <c r="DW34" i="2"/>
  <c r="DH8" i="2"/>
  <c r="EA8" i="2"/>
  <c r="ID8" i="1"/>
  <c r="KN8" i="1"/>
  <c r="DE5" i="1"/>
  <c r="BC5" i="1"/>
  <c r="FL44" i="2"/>
  <c r="FK44" i="2"/>
  <c r="FI44" i="2"/>
  <c r="ET14" i="2"/>
  <c r="HL7" i="1"/>
  <c r="ID7" i="1" s="1"/>
  <c r="HJ7" i="1"/>
  <c r="HU7" i="1"/>
  <c r="JK5" i="1"/>
  <c r="KR5" i="1" s="1"/>
  <c r="KI5" i="1"/>
  <c r="KJ5" i="1" s="1"/>
  <c r="DH5" i="1"/>
  <c r="BF5" i="1"/>
  <c r="KK5" i="1" s="1"/>
  <c r="EX25" i="2"/>
  <c r="DM43" i="2"/>
  <c r="EF43" i="2"/>
  <c r="HW8" i="1"/>
  <c r="GN8" i="1"/>
  <c r="HX8" i="1" s="1"/>
  <c r="KF15" i="1"/>
  <c r="KS15" i="1" s="1"/>
  <c r="KL15" i="1"/>
  <c r="AZ4" i="1"/>
  <c r="DO8" i="2"/>
  <c r="FH8" i="2"/>
  <c r="EH8" i="2"/>
  <c r="FN20" i="2"/>
  <c r="DO32" i="2"/>
  <c r="EH32" i="2"/>
  <c r="FH32" i="2"/>
  <c r="JV18" i="1"/>
  <c r="BR4" i="2"/>
  <c r="BZ4" i="2" s="1"/>
  <c r="DV4" i="2"/>
  <c r="DC4" i="2"/>
  <c r="IB7" i="1"/>
  <c r="KS20" i="1"/>
  <c r="JN5" i="1"/>
  <c r="KQ5" i="1" s="1"/>
  <c r="JN13" i="1"/>
  <c r="KQ13" i="1" s="1"/>
  <c r="EA14" i="2"/>
  <c r="DH14" i="2"/>
  <c r="BC14" i="2"/>
  <c r="BJ14" i="2" s="1"/>
  <c r="ES14" i="2"/>
  <c r="DG14" i="2"/>
  <c r="DL15" i="2"/>
  <c r="EE15" i="2"/>
  <c r="FM15" i="2" s="1"/>
  <c r="HX7" i="1"/>
  <c r="BH4" i="2"/>
  <c r="EY4" i="2" s="1"/>
  <c r="JH14" i="1"/>
  <c r="JU5" i="1"/>
  <c r="KF8" i="1"/>
  <c r="KS8" i="1" s="1"/>
  <c r="DZ11" i="1"/>
  <c r="FJ11" i="1" s="1"/>
  <c r="FG11" i="1"/>
  <c r="KC11" i="1" s="1"/>
  <c r="FJ5" i="2"/>
  <c r="FN5" i="2" s="1"/>
  <c r="FA5" i="2"/>
  <c r="KD13" i="1"/>
  <c r="ID17" i="1"/>
  <c r="KN17" i="1"/>
  <c r="BF13" i="1"/>
  <c r="KK13" i="1" s="1"/>
  <c r="KI13" i="1"/>
  <c r="KJ13" i="1" s="1"/>
  <c r="DH13" i="1"/>
  <c r="IV13" i="1" s="1"/>
  <c r="KO13" i="1" s="1"/>
  <c r="FH34" i="2"/>
  <c r="DO34" i="2"/>
  <c r="EH34" i="2"/>
  <c r="FK36" i="2"/>
  <c r="FI36" i="2"/>
  <c r="FL36" i="2"/>
  <c r="DA14" i="1"/>
  <c r="CJ14" i="1"/>
  <c r="CP14" i="1" s="1"/>
  <c r="DH14" i="1" s="1"/>
  <c r="DW6" i="2"/>
  <c r="DD6" i="2"/>
  <c r="CE4" i="1"/>
  <c r="DP4" i="1"/>
  <c r="EZ4" i="1" s="1"/>
  <c r="KL16" i="1"/>
  <c r="KF16" i="1"/>
  <c r="KS16" i="1" s="1"/>
  <c r="FA10" i="2"/>
  <c r="FI33" i="2"/>
  <c r="FL33" i="2"/>
  <c r="FK33" i="2"/>
  <c r="FH14" i="2"/>
  <c r="EH14" i="2"/>
  <c r="FL35" i="2"/>
  <c r="FK35" i="2"/>
  <c r="FI35" i="2"/>
  <c r="JL18" i="1"/>
  <c r="JZ16" i="1"/>
  <c r="FI26" i="2"/>
  <c r="Z5" i="2"/>
  <c r="FB5" i="2" s="1"/>
  <c r="FH10" i="2"/>
  <c r="EH10" i="2"/>
  <c r="DO10" i="2"/>
  <c r="KL27" i="1"/>
  <c r="KF27" i="1"/>
  <c r="JN14" i="1"/>
  <c r="KQ14" i="1" s="1"/>
  <c r="FA31" i="2"/>
  <c r="FL13" i="2"/>
  <c r="DL40" i="2"/>
  <c r="EE40" i="2"/>
  <c r="FM40" i="2" s="1"/>
  <c r="JB14" i="1"/>
  <c r="EE14" i="1"/>
  <c r="BL14" i="1"/>
  <c r="IJ14" i="1" s="1"/>
  <c r="GR13" i="1"/>
  <c r="IB13" i="1" s="1"/>
  <c r="DA4" i="1"/>
  <c r="IO4" i="1" s="1"/>
  <c r="ID18" i="1"/>
  <c r="KN18" i="1"/>
  <c r="FJ6" i="1"/>
  <c r="KB14" i="1"/>
  <c r="EV14" i="1"/>
  <c r="JZ13" i="1"/>
  <c r="IV14" i="1" l="1"/>
  <c r="KO14" i="1" s="1"/>
  <c r="KF14" i="1"/>
  <c r="KS14" i="1" s="1"/>
  <c r="DL4" i="2"/>
  <c r="EE4" i="2"/>
  <c r="FM4" i="2" s="1"/>
  <c r="FF14" i="2"/>
  <c r="FA14" i="2"/>
  <c r="DO14" i="2"/>
  <c r="KF10" i="1"/>
  <c r="KS10" i="1" s="1"/>
  <c r="KL10" i="1"/>
  <c r="KD18" i="1"/>
  <c r="IT18" i="1"/>
  <c r="DH7" i="2"/>
  <c r="EA7" i="2"/>
  <c r="CC7" i="2"/>
  <c r="FK41" i="2"/>
  <c r="FL41" i="2"/>
  <c r="FI41" i="2"/>
  <c r="IO19" i="1"/>
  <c r="JY19" i="1"/>
  <c r="FL11" i="2"/>
  <c r="FK11" i="2"/>
  <c r="KS27" i="1"/>
  <c r="DO4" i="1"/>
  <c r="EY4" i="1" s="1"/>
  <c r="CD4" i="1"/>
  <c r="CW4" i="1"/>
  <c r="IK4" i="1" s="1"/>
  <c r="JN4" i="1"/>
  <c r="KQ4" i="1" s="1"/>
  <c r="KF13" i="1"/>
  <c r="KS13" i="1" s="1"/>
  <c r="IV5" i="1"/>
  <c r="KO5" i="1" s="1"/>
  <c r="KF5" i="1"/>
  <c r="KS5" i="1" s="1"/>
  <c r="DS7" i="1"/>
  <c r="FB7" i="1"/>
  <c r="JX7" i="1" s="1"/>
  <c r="DD4" i="2"/>
  <c r="DW4" i="2"/>
  <c r="EA5" i="2"/>
  <c r="DH5" i="2"/>
  <c r="CC5" i="2"/>
  <c r="CV18" i="1"/>
  <c r="CC18" i="1"/>
  <c r="CU18" i="1" s="1"/>
  <c r="BD4" i="1"/>
  <c r="DF4" i="1"/>
  <c r="IT4" i="1" s="1"/>
  <c r="DF14" i="1"/>
  <c r="BD14" i="1"/>
  <c r="FA7" i="2"/>
  <c r="DM4" i="2"/>
  <c r="EF4" i="2"/>
  <c r="KF7" i="1"/>
  <c r="KS7" i="1" s="1"/>
  <c r="KL7" i="1"/>
  <c r="EH4" i="2"/>
  <c r="FH4" i="2"/>
  <c r="DO4" i="2"/>
  <c r="JR14" i="1"/>
  <c r="JL14" i="1"/>
  <c r="IB19" i="1"/>
  <c r="HL19" i="1"/>
  <c r="ID19" i="1" s="1"/>
  <c r="FN14" i="2"/>
  <c r="FK14" i="2"/>
  <c r="FL14" i="2"/>
  <c r="CG17" i="1"/>
  <c r="CZ17" i="1"/>
  <c r="FH4" i="1"/>
  <c r="DZ4" i="1"/>
  <c r="FG4" i="2"/>
  <c r="FN4" i="2"/>
  <c r="DH4" i="1"/>
  <c r="IV4" i="1" s="1"/>
  <c r="KO4" i="1" s="1"/>
  <c r="BF4" i="1"/>
  <c r="KK4" i="1" s="1"/>
  <c r="KI4" i="1"/>
  <c r="KJ4" i="1" s="1"/>
  <c r="KL18" i="1"/>
  <c r="KF18" i="1"/>
  <c r="KS18" i="1" s="1"/>
  <c r="JA14" i="1"/>
  <c r="BK14" i="1"/>
  <c r="BU14" i="1" s="1"/>
  <c r="IS14" i="1" s="1"/>
  <c r="KP14" i="1" s="1"/>
  <c r="II14" i="1"/>
  <c r="FI43" i="2"/>
  <c r="FL43" i="2"/>
  <c r="FK43" i="2"/>
  <c r="CF14" i="1"/>
  <c r="DP14" i="1" s="1"/>
  <c r="DM14" i="1"/>
  <c r="EW14" i="1" s="1"/>
  <c r="JS14" i="1" s="1"/>
  <c r="IK19" i="1"/>
  <c r="JU19" i="1"/>
  <c r="FK40" i="2"/>
  <c r="FL40" i="2"/>
  <c r="FI40" i="2"/>
  <c r="KL11" i="1"/>
  <c r="KF11" i="1"/>
  <c r="KS11" i="1" s="1"/>
  <c r="IH14" i="1"/>
  <c r="FK32" i="2"/>
  <c r="FI32" i="2"/>
  <c r="FL32" i="2"/>
  <c r="IM10" i="1"/>
  <c r="JW10" i="1"/>
  <c r="IK18" i="1"/>
  <c r="JU18" i="1"/>
  <c r="DB14" i="1"/>
  <c r="FK10" i="2"/>
  <c r="FL10" i="2"/>
  <c r="FL8" i="2"/>
  <c r="FK8" i="2"/>
  <c r="HX13" i="1"/>
  <c r="GT13" i="1"/>
  <c r="IS5" i="1"/>
  <c r="KP5" i="1" s="1"/>
  <c r="KC5" i="1"/>
  <c r="KT5" i="1" s="1"/>
  <c r="KL9" i="1"/>
  <c r="KF9" i="1"/>
  <c r="KS9" i="1" s="1"/>
  <c r="CX19" i="1"/>
  <c r="AV19" i="1"/>
  <c r="JD19" i="1"/>
  <c r="FN7" i="2"/>
  <c r="KL6" i="1"/>
  <c r="KF6" i="1"/>
  <c r="KS6" i="1" s="1"/>
  <c r="JY4" i="1"/>
  <c r="DH4" i="2"/>
  <c r="EA4" i="2"/>
  <c r="AV14" i="1"/>
  <c r="JD14" i="1"/>
  <c r="IO17" i="1"/>
  <c r="JY17" i="1"/>
  <c r="FK23" i="2"/>
  <c r="FI23" i="2"/>
  <c r="FL23" i="2"/>
  <c r="IO14" i="1"/>
  <c r="JY14" i="1"/>
  <c r="FI34" i="2"/>
  <c r="FL34" i="2"/>
  <c r="FK34" i="2"/>
  <c r="KC10" i="1"/>
  <c r="KT10" i="1" s="1"/>
  <c r="IT14" i="1" l="1"/>
  <c r="KD14" i="1"/>
  <c r="IJ18" i="1"/>
  <c r="JT18" i="1"/>
  <c r="DO7" i="2"/>
  <c r="EH7" i="2"/>
  <c r="FH7" i="2"/>
  <c r="II18" i="1"/>
  <c r="JS18" i="1"/>
  <c r="IN17" i="1"/>
  <c r="JX17" i="1"/>
  <c r="DT4" i="1"/>
  <c r="FD4" i="1" s="1"/>
  <c r="JZ4" i="1" s="1"/>
  <c r="FJ4" i="1"/>
  <c r="KD4" i="1"/>
  <c r="IL19" i="1"/>
  <c r="JV19" i="1"/>
  <c r="CY17" i="1"/>
  <c r="CP17" i="1"/>
  <c r="DH17" i="1" s="1"/>
  <c r="EH5" i="2"/>
  <c r="DO5" i="2"/>
  <c r="FH5" i="2"/>
  <c r="IP14" i="1"/>
  <c r="JZ14" i="1"/>
  <c r="DN4" i="1"/>
  <c r="EX4" i="1" s="1"/>
  <c r="CC4" i="1"/>
  <c r="CV4" i="1"/>
  <c r="IJ4" i="1" s="1"/>
  <c r="KN13" i="1"/>
  <c r="ID13" i="1"/>
  <c r="EZ14" i="1"/>
  <c r="DW14" i="1"/>
  <c r="FG14" i="1" s="1"/>
  <c r="KC14" i="1" s="1"/>
  <c r="KT14" i="1" s="1"/>
  <c r="DT7" i="1"/>
  <c r="FD7" i="1" s="1"/>
  <c r="JZ7" i="1" s="1"/>
  <c r="FC7" i="1"/>
  <c r="JY7" i="1" s="1"/>
  <c r="FL4" i="2"/>
  <c r="FI4" i="2"/>
  <c r="FK4" i="2"/>
  <c r="CX14" i="1"/>
  <c r="IL14" i="1" s="1"/>
  <c r="JU4" i="1"/>
  <c r="FL5" i="2" l="1"/>
  <c r="FK5" i="2"/>
  <c r="IV17" i="1"/>
  <c r="KO17" i="1" s="1"/>
  <c r="KF17" i="1"/>
  <c r="KS17" i="1" s="1"/>
  <c r="KL4" i="1"/>
  <c r="KF4" i="1"/>
  <c r="KS4" i="1" s="1"/>
  <c r="FK7" i="2"/>
  <c r="FL7" i="2"/>
  <c r="DM4" i="1"/>
  <c r="EW4" i="1" s="1"/>
  <c r="CU4" i="1"/>
  <c r="II4" i="1" s="1"/>
  <c r="IM17" i="1"/>
  <c r="JW17" i="1"/>
  <c r="JV14" i="1"/>
  <c r="JT4" i="1"/>
  <c r="JS4"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Matt Kopsky</author>
  </authors>
  <commentList>
    <comment ref="EH8" authorId="0" shapeId="0" xr:uid="{5E913C62-04B5-4C4A-8559-6144E92B6507}">
      <text>
        <r>
          <rPr>
            <b/>
            <sz val="9"/>
            <color indexed="81"/>
            <rFont val="Tahoma"/>
            <family val="2"/>
          </rPr>
          <t>Matt Kopsky:</t>
        </r>
        <r>
          <rPr>
            <sz val="9"/>
            <color indexed="81"/>
            <rFont val="Tahoma"/>
            <family val="2"/>
          </rPr>
          <t xml:space="preserve">
does not include 50k of preferred and $265k related debt to Shawn and spouse</t>
        </r>
      </text>
    </comment>
    <comment ref="HH12" authorId="0" shapeId="0" xr:uid="{39F5ECF9-DAA1-4FE4-B84F-266DBE49D67B}">
      <text>
        <r>
          <rPr>
            <b/>
            <sz val="9"/>
            <color indexed="81"/>
            <rFont val="Tahoma"/>
            <family val="2"/>
          </rPr>
          <t>Matt Kopsky:</t>
        </r>
        <r>
          <rPr>
            <sz val="9"/>
            <color indexed="81"/>
            <rFont val="Tahoma"/>
            <family val="2"/>
          </rPr>
          <t xml:space="preserve">
30.3 from change in investments may not be applicable but being conservative</t>
        </r>
      </text>
    </comment>
    <comment ref="AK19" authorId="0" shapeId="0" xr:uid="{C4338C01-1E07-406F-826C-4A45CD4C2E6D}">
      <text>
        <r>
          <rPr>
            <b/>
            <sz val="9"/>
            <color indexed="81"/>
            <rFont val="Tahoma"/>
            <family val="2"/>
          </rPr>
          <t>Matt Kopsky:</t>
        </r>
        <r>
          <rPr>
            <sz val="9"/>
            <color indexed="81"/>
            <rFont val="Tahoma"/>
            <family val="2"/>
          </rPr>
          <t xml:space="preserve">
does not add back $5.1m of non-op expenses (other exp). Need to understand thees expenses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Matt Kopsky</author>
    <author>tc={1915EA51-743D-4120-B572-65646ED7FAB6}</author>
    <author>Beckham Blew</author>
    <author>tc={C3FD0030-21B2-4F99-829E-2484C1C2F829}</author>
  </authors>
  <commentList>
    <comment ref="FO3" authorId="0" shapeId="0" xr:uid="{07748B36-4291-433E-9D59-6A5C724ACD22}">
      <text>
        <r>
          <rPr>
            <b/>
            <sz val="9"/>
            <color indexed="81"/>
            <rFont val="Tahoma"/>
            <family val="2"/>
          </rPr>
          <t>Matt Kopsky:</t>
        </r>
        <r>
          <rPr>
            <sz val="9"/>
            <color indexed="81"/>
            <rFont val="Tahoma"/>
            <family val="2"/>
          </rPr>
          <t xml:space="preserve">
Rent is most recent LTM in all scenarios. Sales and EBITDAR change based on Period</t>
        </r>
      </text>
    </comment>
    <comment ref="DZ12" authorId="1" shapeId="0" xr:uid="{1915EA51-743D-4120-B572-65646ED7FAB6}">
      <text>
        <t>[Threaded comment]
Your version of Excel allows you to read this threaded comment; however, any edits to it will get removed if the file is opened in a newer version of Excel. Learn more: https://go.microsoft.com/fwlink/?linkid=870924
Comment:
    Ratio has almost been cut in half from q3 24 to q3 25/ It is the lowest ratio</t>
      </text>
    </comment>
    <comment ref="AK20" authorId="2" shapeId="0" xr:uid="{A6ED27D9-5FE0-46C7-BE5E-1D581B21FC88}">
      <text>
        <r>
          <rPr>
            <sz val="9"/>
            <color indexed="81"/>
            <rFont val="Tahoma"/>
            <family val="2"/>
          </rPr>
          <t xml:space="preserve">GT: 
Double check this nunber seems to low
</t>
        </r>
      </text>
    </comment>
    <comment ref="DG26" authorId="3" shapeId="0" xr:uid="{C3FD0030-21B2-4F99-829E-2484C1C2F829}">
      <text>
        <t>[Threaded comment]
Your version of Excel allows you to read this threaded comment; however, any edits to it will get removed if the file is opened in a newer version of Excel. Learn more: https://go.microsoft.com/fwlink/?linkid=870924
Comment:
    This is the lowest EBITDAR margin, something to keep an eye on</t>
      </text>
    </comment>
  </commentList>
</comments>
</file>

<file path=xl/sharedStrings.xml><?xml version="1.0" encoding="utf-8"?>
<sst xmlns="http://schemas.openxmlformats.org/spreadsheetml/2006/main" count="987" uniqueCount="338">
  <si>
    <t>Key Info</t>
  </si>
  <si>
    <t>Sales (000s)</t>
  </si>
  <si>
    <t>EBITDA (000s)</t>
  </si>
  <si>
    <t>EBITDA Margin</t>
  </si>
  <si>
    <t>Interest (000s)</t>
  </si>
  <si>
    <t>Rent (000s)</t>
  </si>
  <si>
    <t>EBITDAR (000s)</t>
  </si>
  <si>
    <t>Op Lease Debt (000s)</t>
  </si>
  <si>
    <t>B/S Debt (000s)</t>
  </si>
  <si>
    <t>Total Debt (000s)</t>
  </si>
  <si>
    <t>Cash (000s)</t>
  </si>
  <si>
    <t>CFO (000s)</t>
  </si>
  <si>
    <t>Capex (000s)</t>
  </si>
  <si>
    <t>FCF (000s)</t>
  </si>
  <si>
    <t>FCCR (EBITDAR / Rent + Int. Exp)</t>
  </si>
  <si>
    <t>Leverage (BS Debt / EBITDA)</t>
  </si>
  <si>
    <t>Leverage (Debt / EBITDAR)</t>
  </si>
  <si>
    <t>Most Recent - Annual (000's)</t>
  </si>
  <si>
    <t>Credit</t>
  </si>
  <si>
    <t>Notes</t>
  </si>
  <si>
    <t>Sales</t>
  </si>
  <si>
    <t>EBITDA</t>
  </si>
  <si>
    <t>FCCR</t>
  </si>
  <si>
    <t>BS Debt / EBITDA</t>
  </si>
  <si>
    <t>Full Debt/EBITDAR</t>
  </si>
  <si>
    <t>Tenant</t>
  </si>
  <si>
    <t>Underwritten Entity</t>
  </si>
  <si>
    <t>Owner Entity</t>
  </si>
  <si>
    <t>Rent</t>
  </si>
  <si>
    <t>Q1 23</t>
  </si>
  <si>
    <t>Q2 23</t>
  </si>
  <si>
    <t>Q3 23</t>
  </si>
  <si>
    <t>Q4 23</t>
  </si>
  <si>
    <t>Q1 24</t>
  </si>
  <si>
    <t>Q2 24</t>
  </si>
  <si>
    <t>Q3 24</t>
  </si>
  <si>
    <t>Q4 24</t>
  </si>
  <si>
    <t>Q1 25</t>
  </si>
  <si>
    <t>Q2 25</t>
  </si>
  <si>
    <t>Q3 25</t>
  </si>
  <si>
    <t>Q4 25</t>
  </si>
  <si>
    <t>Q1 26</t>
  </si>
  <si>
    <t>LTM</t>
  </si>
  <si>
    <t>Q4 26</t>
  </si>
  <si>
    <t>Q 26</t>
  </si>
  <si>
    <t>TTM</t>
  </si>
  <si>
    <t>y/y</t>
  </si>
  <si>
    <t>Total Debt</t>
  </si>
  <si>
    <t>Cash</t>
  </si>
  <si>
    <t>OCF</t>
  </si>
  <si>
    <t>LY</t>
  </si>
  <si>
    <t>LTM Period</t>
  </si>
  <si>
    <t>Ranking</t>
  </si>
  <si>
    <t>Compliant</t>
  </si>
  <si>
    <t>May 2026 Notes</t>
  </si>
  <si>
    <t>March 2026 Notes</t>
  </si>
  <si>
    <t>Jan 2026 Notes</t>
  </si>
  <si>
    <t>Gabriel</t>
  </si>
  <si>
    <t>MK Notes - Sep 2025</t>
  </si>
  <si>
    <t>BB Notes - July 2025</t>
  </si>
  <si>
    <t>MK Notes - April 2025</t>
  </si>
  <si>
    <t>MP Notes - January 2025</t>
  </si>
  <si>
    <t>MK - January 2025 Notes</t>
  </si>
  <si>
    <t>Fairfield Automotive Partners, LLC</t>
  </si>
  <si>
    <t>Schomp Automotive Group</t>
  </si>
  <si>
    <t>4Q25</t>
  </si>
  <si>
    <t>Yes</t>
  </si>
  <si>
    <t>Negative EBITDA but $37m other income (need to understand what this is); also better understand Cash Flow Statement b/c the numbers may be inverted</t>
  </si>
  <si>
    <t>weak profits but strong cash flow due to positive working capital (e.g., lower inventory)</t>
  </si>
  <si>
    <t>C:\Users\Matt Kopsky\Dropbox\SLB Opportunity Fund\Momentum Auto Group (Project Inertia)\Financials\MAG Fairfield II\Schomp</t>
  </si>
  <si>
    <t>waiting on audited; negative profitability</t>
  </si>
  <si>
    <t>still waiting on audited 2024; unaudited is included for now</t>
  </si>
  <si>
    <t>asked Aaron questions | 2024 is not audited</t>
  </si>
  <si>
    <t>Regard Recovery Residential Treatment of Florida LLC</t>
  </si>
  <si>
    <t>Destination Hope</t>
  </si>
  <si>
    <t>declining trends and very thin cash flow</t>
  </si>
  <si>
    <t>declining trends and only $142k of cash</t>
  </si>
  <si>
    <t>C:\Users\Matt Kopsky\Dropbox\SLB Opportunity Fund\Satori Waters\Financials</t>
  </si>
  <si>
    <t>profitable but very small entity and minimal liquidity</t>
  </si>
  <si>
    <t>deterioration with EBITDA and sales down 20% and 10%, respectively from 23 to 24. Still healthy CFC but poor trends</t>
  </si>
  <si>
    <t>Need YE 2024</t>
  </si>
  <si>
    <t>call scheduled with Daniel this week to discuss</t>
  </si>
  <si>
    <t>Dennis &amp; Co Holdings, LLC</t>
  </si>
  <si>
    <t>Dennis &amp; Co Holdings LLC and Affiliates</t>
  </si>
  <si>
    <t>2025 audits not due until end of June</t>
  </si>
  <si>
    <t>required to only report annual financials</t>
  </si>
  <si>
    <t>C:\Users\Matt Kopsky\Dropbox\SLB Opportunity Fund\Dennis &amp; Co Car Dealerships\Financials</t>
  </si>
  <si>
    <t>Weak overall except good cash flow driven from reduced inventories; liquidity is $9m cash + $4m LOC and debt maturing 2028-2032</t>
  </si>
  <si>
    <t>requested financials</t>
  </si>
  <si>
    <t>$2.3M available on RCF; $4m debt amortization per year and $16m term loan matures in 2029</t>
  </si>
  <si>
    <t>MVM Pizza, LLC</t>
  </si>
  <si>
    <t>stable trends</t>
  </si>
  <si>
    <t>stable operating trends but issued more debt</t>
  </si>
  <si>
    <t>n/a</t>
  </si>
  <si>
    <t>small company with slightly declining EBITDA and cash flows w/ minimal liquidity</t>
  </si>
  <si>
    <t>Ethema Health Corporation</t>
  </si>
  <si>
    <t>3Q25</t>
  </si>
  <si>
    <t>Q4 25 financials not provided</t>
  </si>
  <si>
    <t>very weak oveall financials but Q3 25 was profitable and best quarter since began tracking in Q1 2023</t>
  </si>
  <si>
    <t>sec.gov</t>
  </si>
  <si>
    <t>bad but improvement in Q4</t>
  </si>
  <si>
    <t>Subpar financials w/ liquidity of $245k cash and cash burn of ~$100m per quarter; debt is comprised of short-term notes and op lease debt; EBITDA positive in Q4 was only green shoot</t>
  </si>
  <si>
    <t>still waiting on 10-k; Ethema filed extension w/ SEC on 3/31 (should be available w/in 15 days)</t>
  </si>
  <si>
    <t>Need YE 2024 | Update from Call/Information received | numbers are current but also requested census</t>
  </si>
  <si>
    <t>minimal liquidity of ~$240k ($176k available on RCF) and does not possess any material assets that they could sell; Based on cash flow run rate, the Company could default in 1H 2025</t>
  </si>
  <si>
    <t>Family Dollar Stores of Wisconsin, LLC</t>
  </si>
  <si>
    <t>Dollar Tree, Inc.</t>
  </si>
  <si>
    <t>private company; no recent financials and not required per the Lease</t>
  </si>
  <si>
    <t>private company now</t>
  </si>
  <si>
    <t>financials no longer available for Family Dollar as of Q4 2024 due to proposed LBO</t>
  </si>
  <si>
    <t>S&amp;P 'BBB' Credit Rating; FYE 1/31</t>
  </si>
  <si>
    <t>Kabobs Acquisition, LLC</t>
  </si>
  <si>
    <t>Gourmet Culinary Partners, LLC</t>
  </si>
  <si>
    <t>fine</t>
  </si>
  <si>
    <t>C:\Users\Matt Kopsky\Dropbox\SLB Opportunity Fund\Kabob's\- Financials\2025</t>
  </si>
  <si>
    <t>fine and stable</t>
  </si>
  <si>
    <t>fine. No issues</t>
  </si>
  <si>
    <t>Kraf, Inc.</t>
  </si>
  <si>
    <t>KRAF, Inc.</t>
  </si>
  <si>
    <t>C:\Users\Matt Kopsky\Dropbox\SLB Opportunity Fund\BKs\Financials</t>
  </si>
  <si>
    <t>slight deterioration in financials but fine overall; term loan not maturing until 2030</t>
  </si>
  <si>
    <t>rent does not include percentage rent; no debt maturing until 2030; unsure about RCF</t>
  </si>
  <si>
    <t>Olde School Industries, LLC</t>
  </si>
  <si>
    <t>deteriorating trends but does not account for ~$240m+ of dividend income, incentive income and other income</t>
  </si>
  <si>
    <t>Additional $220m from dividend income and incentive income not captured in metrics; if included, FCCR = 2.5x and Leverage = 4.5x</t>
  </si>
  <si>
    <t>C:\Users\Matt Kopsky\Dropbox\SLB Opportunity Fund\Ace Hardware &amp; Dollar Tree\Financials</t>
  </si>
  <si>
    <t>improving trends; ebitda not account for other income ($20k), dividend income ($103k) or Ace Incentive Income ($118k)</t>
  </si>
  <si>
    <t>EBITDA does not include $205k from Ace Incentive Income and Dividend Income</t>
  </si>
  <si>
    <t>Dick will send but have not received yet; we have YTD but not LTM or annual</t>
  </si>
  <si>
    <t>Oceans Acquisition, Inc.</t>
  </si>
  <si>
    <t>Oceans Midco, Inc.</t>
  </si>
  <si>
    <t>revenue and EBITDA +70% y/y</t>
  </si>
  <si>
    <t>closely monitoring but stable trends</t>
  </si>
  <si>
    <t>C:\Users\Matt Kopsky\Dropbox\SLB Opportunity Fund\Oceans\- Financials</t>
  </si>
  <si>
    <t>Challenging credit w/ growing topline but weak EBITDA trends and new op lease debt in Q2 25; debt matures 2029</t>
  </si>
  <si>
    <t>deterioration in EBITDA from $23m to $13m due to lower margins and increased debt by $140m to fund $120m m&amp;a</t>
  </si>
  <si>
    <t>Debt due Feb 1, 2027; $10M available on RCF</t>
  </si>
  <si>
    <t>Pinnacle Oil &amp; Gas Holdings, Inc.</t>
  </si>
  <si>
    <t>decline in revenues and EBITDA despite signficant asset count growth; op lease debt is much higher given breakout on b/s (assumed 8x rent in 2024)</t>
  </si>
  <si>
    <t>no cash flow statement provided; only B/S and I/S</t>
  </si>
  <si>
    <t>C:\Users\Matt Kopsky\Dropbox\SLB Opportunity Fund\Pinnacle Oil &amp; Gas\Financials</t>
  </si>
  <si>
    <t>requested</t>
  </si>
  <si>
    <t>Need YE 2024 | Update once Sultana sends</t>
  </si>
  <si>
    <t>some #s appear to be missing: I/S does not have g&amp;a, CFO does not include interest either, capex is likley m&amp;a; cash flow statement seems off and doesn’t show $10m debt paydown and cash is now less than $2m</t>
  </si>
  <si>
    <t>Perfect Pizza Pie, LLC</t>
  </si>
  <si>
    <t>Perfect Pizza Pie, Inc.</t>
  </si>
  <si>
    <t>steady sales but EBITDA decreased 14%</t>
  </si>
  <si>
    <t>fine. No balance sheet provided</t>
  </si>
  <si>
    <t>C:\Users\Matt Kopsky\Dropbox\SLB Opportunity Fund\Dominos\Financials</t>
  </si>
  <si>
    <t>declining trends and some stores sold</t>
  </si>
  <si>
    <t>asked Horne for b/s and c/f statement</t>
  </si>
  <si>
    <t>GPM Empire, LLC</t>
  </si>
  <si>
    <t>ARKO Corp.</t>
  </si>
  <si>
    <t>C:\Users\Matt Kopsky\Dropbox\SLB Opportunity Fund\Quarles Petroleum (Project Fleet)\Financials\GPM</t>
  </si>
  <si>
    <t>some deterioration in performance; major debt not maturing until 2028/2029</t>
  </si>
  <si>
    <t>$420M available on RCF and no material debt due until May 2028</t>
  </si>
  <si>
    <t>Solaero Technologies Corp.</t>
  </si>
  <si>
    <t>Rocket Lab U.S.A., Inc.</t>
  </si>
  <si>
    <t>cash burn is improving</t>
  </si>
  <si>
    <t>strong cash position and cash burn has stabilized; $51B market cap</t>
  </si>
  <si>
    <t>public</t>
  </si>
  <si>
    <t>continue burning cash; no debt due until 2029</t>
  </si>
  <si>
    <t>Need to finalize highlighted cells and Ebitda</t>
  </si>
  <si>
    <t>No major debt due until Feb 1, 2029 and liquidity of $240m cash + $210m marketable securities or $450m (don't see RCF); implies ~4 years of cash based on burn rate</t>
  </si>
  <si>
    <t>No major debt due until Feb 1, 2029</t>
  </si>
  <si>
    <t>Trulieve, Inc.</t>
  </si>
  <si>
    <t>Trulieve Cannabis Corp.</t>
  </si>
  <si>
    <t>Need Rent still, increasing cash, financials increasing</t>
  </si>
  <si>
    <t>$368m private placement notes due Oct 6, 2026</t>
  </si>
  <si>
    <t>Valpak Direct Marketing Systems, Inc.</t>
  </si>
  <si>
    <t>PAK Holdings Corporation (PAK Acquisition Corp for '24 audited)</t>
  </si>
  <si>
    <t>strong credit</t>
  </si>
  <si>
    <t>Improving financials with sales and cash. Need to clarify rent</t>
  </si>
  <si>
    <t>improving financials but need to understand debt at Parent level</t>
  </si>
  <si>
    <t>Need to understand new Senior loan |  New Senior Loan Facility 12/23/24-Need detail | Requested</t>
  </si>
  <si>
    <t>2023 financials shown; improved results YTD 2024 w/ debt paydown; no concerns</t>
  </si>
  <si>
    <t>Fifth Third Bank</t>
  </si>
  <si>
    <t>Fifth Third Bank, National  Association</t>
  </si>
  <si>
    <t>S&amp;P 'A-' Credit Rating</t>
  </si>
  <si>
    <t>Regions Bank</t>
  </si>
  <si>
    <t>Regions Financial Corporation</t>
  </si>
  <si>
    <t>S&amp;P 'BBB+' Credit Rating</t>
  </si>
  <si>
    <t>Starbucks Corporation</t>
  </si>
  <si>
    <t xml:space="preserve">   </t>
  </si>
  <si>
    <t>Synovus Bank</t>
  </si>
  <si>
    <t>S&amp;P 'BBB-' Credit Rating</t>
  </si>
  <si>
    <t>TD Bank, N.A.</t>
  </si>
  <si>
    <t>S&amp;P 'A+' Credit Rating</t>
  </si>
  <si>
    <t>Truist  Bank</t>
  </si>
  <si>
    <t>Truist Bank</t>
  </si>
  <si>
    <t>S&amp;P 'A' Credit Rating</t>
  </si>
  <si>
    <t>Umpqua  Bank</t>
  </si>
  <si>
    <t>Umpqua Bank</t>
  </si>
  <si>
    <t>S&amp;P 'BBB' Credit Rating</t>
  </si>
  <si>
    <t>iMedia Brands, Inc.</t>
  </si>
  <si>
    <t>Innovation Ventures, LLC</t>
  </si>
  <si>
    <t>lease default</t>
  </si>
  <si>
    <t>Need to Tenant/Guarantor financials |  Lets give a deadline and send out default notice if not received</t>
  </si>
  <si>
    <t>need 2024 financials for this entity; As of 2023 annual: debt matures Feb 21, 2028 and rate is SOFR + (1% to 2.5%) and $320M available on RCF; to calculate rent use lease schedule and include op leases and finance leases b/c warehouse rent appears to be in finance lease bucket</t>
  </si>
  <si>
    <t xml:space="preserve"> </t>
  </si>
  <si>
    <t>Inside Sales</t>
  </si>
  <si>
    <t>Fuel Volumes</t>
  </si>
  <si>
    <t>EBITDAR</t>
  </si>
  <si>
    <t>EBITDAR Margin</t>
  </si>
  <si>
    <t>Cash Flow Coverage</t>
  </si>
  <si>
    <t>Rent/Sales</t>
  </si>
  <si>
    <t>Most Recent Annual</t>
  </si>
  <si>
    <t>CFC</t>
  </si>
  <si>
    <t>PID</t>
  </si>
  <si>
    <t>Address</t>
  </si>
  <si>
    <t>City</t>
  </si>
  <si>
    <t>ST</t>
  </si>
  <si>
    <t>Zip</t>
  </si>
  <si>
    <t>Banner</t>
  </si>
  <si>
    <t>Tenant (Legal Entity)</t>
  </si>
  <si>
    <t>Industry</t>
  </si>
  <si>
    <t>NP Notes - May 2026</t>
  </si>
  <si>
    <t>MK Notes - Jan 2026</t>
  </si>
  <si>
    <t>MK Notes - September 2025</t>
  </si>
  <si>
    <t>EBITDAR Formula</t>
  </si>
  <si>
    <t>BB Notes - August 2025</t>
  </si>
  <si>
    <t>Matt Notes - January 2025</t>
  </si>
  <si>
    <t>MAG2855</t>
  </si>
  <si>
    <t>MAG Fairfield II</t>
  </si>
  <si>
    <t>bad and getting worse</t>
  </si>
  <si>
    <t>page 2 left side "Total" section: net operating profit + Rent + depr - equipment and fixtures + mortgage interest</t>
  </si>
  <si>
    <t>Need to ask questions on how to find certain figures within financials</t>
  </si>
  <si>
    <t>losses are getting worse; recommend an update from Tenant</t>
  </si>
  <si>
    <r>
      <t xml:space="preserve">Please indicate date VW opened/ Stub financials | </t>
    </r>
    <r>
      <rPr>
        <sz val="11"/>
        <color rgb="FF0000FF"/>
        <rFont val="Aptos Narrow"/>
        <family val="2"/>
        <scheme val="minor"/>
      </rPr>
      <t>June 2023</t>
    </r>
  </si>
  <si>
    <t>dealership is in ramp-up phase</t>
  </si>
  <si>
    <t>TP3030</t>
  </si>
  <si>
    <t>TP Portfolio</t>
  </si>
  <si>
    <t>BP</t>
  </si>
  <si>
    <t>Feb 1 through 9/30/2025 for all financials and rent</t>
  </si>
  <si>
    <t>PS1602</t>
  </si>
  <si>
    <t>PC Slices</t>
  </si>
  <si>
    <t>continues to lose money</t>
  </si>
  <si>
    <t>remains very weak</t>
  </si>
  <si>
    <t>Operating Profit (Loss) +Interest Expense + Rent-Store</t>
  </si>
  <si>
    <t>Missing Q2 25 Report</t>
  </si>
  <si>
    <r>
      <t xml:space="preserve">Are you adding back Admin Fee on all PC Slices | </t>
    </r>
    <r>
      <rPr>
        <sz val="11"/>
        <color rgb="FF0000FF"/>
        <rFont val="Aptos Narrow"/>
        <family val="2"/>
        <scheme val="minor"/>
      </rPr>
      <t>Yes</t>
    </r>
  </si>
  <si>
    <t>2022 financials not available</t>
  </si>
  <si>
    <t>TP10050</t>
  </si>
  <si>
    <t>Citgo</t>
  </si>
  <si>
    <t>TP3695</t>
  </si>
  <si>
    <t>QP2521</t>
  </si>
  <si>
    <t>QP Portfolio</t>
  </si>
  <si>
    <t>weak and trending down</t>
  </si>
  <si>
    <t>weak</t>
  </si>
  <si>
    <t>Net Profit (Loss) + Rent Exp</t>
  </si>
  <si>
    <t>low fuel volumes</t>
  </si>
  <si>
    <r>
      <t xml:space="preserve">CFC 09/30 is 1.03X ??? | </t>
    </r>
    <r>
      <rPr>
        <sz val="11"/>
        <color rgb="FF0000FF"/>
        <rFont val="Aptos Narrow"/>
        <family val="2"/>
        <scheme val="minor"/>
      </rPr>
      <t>That is YTD 9/30 vs. LTM shown here</t>
    </r>
  </si>
  <si>
    <t>2022 financials appear to be partial year but I'm using full 2022 rent</t>
  </si>
  <si>
    <t>TP21100</t>
  </si>
  <si>
    <t>TP3701</t>
  </si>
  <si>
    <t>POG776</t>
  </si>
  <si>
    <t>POG Portfolio</t>
  </si>
  <si>
    <t>Net Other Income + Rent Expense</t>
  </si>
  <si>
    <t>Need Q2 25</t>
  </si>
  <si>
    <t>need to confirm accuracy of P&amp;Ls</t>
  </si>
  <si>
    <t>PCA1120a</t>
  </si>
  <si>
    <t>PC Acquisition</t>
  </si>
  <si>
    <t>strong performance and doesn’t include ~$175k Div Income and Incentive Income</t>
  </si>
  <si>
    <t>great improvement and doesn't account for other income ($7k), Dividend Income ($56k) or Ace Incentive Income ($118k)</t>
  </si>
  <si>
    <t>Operating Income + Depreciation + Interest Expense + Donations + Rent</t>
  </si>
  <si>
    <t>$150k income below the line from dividends and Ace Incentive Income</t>
  </si>
  <si>
    <t>TP9980</t>
  </si>
  <si>
    <t>PS3570</t>
  </si>
  <si>
    <t>Operating Profit (Loss) + Administrative Fee + Rent-Store</t>
  </si>
  <si>
    <t>Rent Roll needs update to populate metrics</t>
  </si>
  <si>
    <t>improving trends</t>
  </si>
  <si>
    <t>POG3204</t>
  </si>
  <si>
    <t>QP2483</t>
  </si>
  <si>
    <t>fine and trending better</t>
  </si>
  <si>
    <t>Massive jump in Sales</t>
  </si>
  <si>
    <t>fuel volumes declined 18% in 2024 vs. 2023</t>
  </si>
  <si>
    <r>
      <t xml:space="preserve">CFC 09/30 is 1.32X ??? | </t>
    </r>
    <r>
      <rPr>
        <sz val="11"/>
        <color rgb="FF0000FF"/>
        <rFont val="Aptos Narrow"/>
        <family val="2"/>
        <scheme val="minor"/>
      </rPr>
      <t>That is YTD 9/30 vs. LTM shown here</t>
    </r>
  </si>
  <si>
    <t>DC1320</t>
  </si>
  <si>
    <t>DC Riverhead</t>
  </si>
  <si>
    <t>improving</t>
  </si>
  <si>
    <t>EBITDA + Pontus Rent</t>
  </si>
  <si>
    <t>Fine w/ slightly improving and sales and EBITDAR trends</t>
  </si>
  <si>
    <r>
      <t xml:space="preserve">Dealership closed for major renovation| </t>
    </r>
    <r>
      <rPr>
        <sz val="11"/>
        <color rgb="FF0000FF"/>
        <rFont val="Aptos Narrow"/>
        <family val="2"/>
        <scheme val="minor"/>
      </rPr>
      <t>Yes</t>
    </r>
  </si>
  <si>
    <t>PS1210</t>
  </si>
  <si>
    <t>fine but trending lower</t>
  </si>
  <si>
    <t>Rent Roll needs update to populate metrics, small dropoff in EBITDAR</t>
  </si>
  <si>
    <t>POG2520</t>
  </si>
  <si>
    <t>POG725</t>
  </si>
  <si>
    <t>POG18092</t>
  </si>
  <si>
    <t>POG Portfolio II</t>
  </si>
  <si>
    <t>need to confirm accuracy of P&amp;Ls and need Q3 24</t>
  </si>
  <si>
    <t>QP765</t>
  </si>
  <si>
    <t>Fuel Volumes declined a little</t>
  </si>
  <si>
    <t>EHC950</t>
  </si>
  <si>
    <t>EHC Palm Beach</t>
  </si>
  <si>
    <t>No</t>
  </si>
  <si>
    <t>fine and improving</t>
  </si>
  <si>
    <t>Net Ordinary Income + Total Rent + Depreciation Expense + Interco Income/Expense + Total Rent Smoothing</t>
  </si>
  <si>
    <t>No Depreciation or Rent smoothing reported in Q2 25, Missing insurance on Q2 25 report. Large increase in billing from Q1 25 to Q2 25</t>
  </si>
  <si>
    <t>quarterly financials do not add up to annuals; Shawn said Q3 and Q4 had some extra expense related to Boca only.  Primarily 33k in rent and some labor. There was zero income related to Boca and it just became billable in January of this year</t>
  </si>
  <si>
    <t>POG811</t>
  </si>
  <si>
    <t>POG2819</t>
  </si>
  <si>
    <t>POG2221</t>
  </si>
  <si>
    <t>POG16206</t>
  </si>
  <si>
    <t>POG1406</t>
  </si>
  <si>
    <t>SW8301</t>
  </si>
  <si>
    <t>SW Portfolio</t>
  </si>
  <si>
    <t>deterioration in CFC</t>
  </si>
  <si>
    <t>Net Income + Rent Expense + Amortization Exp</t>
  </si>
  <si>
    <t>healthy but CFC trended lower in 2024 from 6.7x to 5.3x</t>
  </si>
  <si>
    <t>BK3485</t>
  </si>
  <si>
    <t>BK Portfolio</t>
  </si>
  <si>
    <t>Store Operating + Base Rent Exp Others</t>
  </si>
  <si>
    <t>Avg growth</t>
  </si>
  <si>
    <t>Store #9644; 2023 is TTM as of 6/30</t>
  </si>
  <si>
    <t>QP7301</t>
  </si>
  <si>
    <t xml:space="preserve">Improving Sales </t>
  </si>
  <si>
    <t>OH2621</t>
  </si>
  <si>
    <t>OH Portfolio</t>
  </si>
  <si>
    <t>EBITDAR near doubled Q1 to Q2</t>
  </si>
  <si>
    <t>BK99</t>
  </si>
  <si>
    <t>Store #11484; 2023 is TTM as of 6/30</t>
  </si>
  <si>
    <t>PS4158</t>
  </si>
  <si>
    <t>OH3300</t>
  </si>
  <si>
    <t>OH Midland</t>
  </si>
  <si>
    <t>OH1310</t>
  </si>
  <si>
    <t>POG105</t>
  </si>
  <si>
    <t>OH4225</t>
  </si>
  <si>
    <t>OH Abilene</t>
  </si>
  <si>
    <t>QP2881</t>
  </si>
  <si>
    <t>Improving CFC</t>
  </si>
  <si>
    <t>OH11135</t>
  </si>
  <si>
    <t>OH302</t>
  </si>
  <si>
    <t>QP3916</t>
  </si>
  <si>
    <t>QP1210</t>
  </si>
  <si>
    <t>QP160</t>
  </si>
  <si>
    <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</si>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</sst>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quot;$&quot;#,##0"/>
    <numFmt numFmtId="165" formatCode="0.00\x"/>
    <numFmt numFmtId="166" formatCode="0.0%"/>
    <numFmt numFmtId="167" formatCode="_(* #,##0_);_(* \(#,##0\);_(* &quot;-&quot;??_);_(@_)"/>
    <numFmt numFmtId="168" formatCode="&quot;$&quot;#,##0.00"/>
  </numFmts>
  <fonts count="9" x14ac:knownFonts="1">
    <font>
      <sz val="11"/>
      <color theme="1"/>
      <name val="Aptos Narrow"/>
      <family val="2"/>
      <scheme val="minor"/>
    </font>
    <font>
      <sz val="11"/>
      <color theme="1"/>
      <name val="Aptos Narrow"/>
      <family val="2"/>
      <scheme val="minor"/>
    </font>
    <font>
      <b/>
      <sz val="11"/>
      <color theme="1"/>
      <name val="Aptos Narrow"/>
      <family val="2"/>
      <scheme val="minor"/>
    </font>
    <font>
      <b/>
      <u/>
      <sz val="11"/>
      <color theme="1"/>
      <name val="Aptos Narrow"/>
      <family val="2"/>
      <scheme val="minor"/>
    </font>
    <font>
      <sz val="11"/>
      <name val="Aptos Narrow"/>
      <family val="2"/>
      <scheme val="minor"/>
    </font>
    <font>
      <b/>
      <sz val="9"/>
      <color indexed="81"/>
      <name val="Tahoma"/>
      <family val="2"/>
    </font>
    <font>
      <sz val="9"/>
      <color indexed="81"/>
      <name val="Tahoma"/>
      <family val="2"/>
    </font>
    <font>
      <sz val="11"/>
      <color rgb="FF0000FF"/>
      <name val="Aptos Narrow"/>
      <family val="2"/>
      <scheme val="minor"/>
    </font>
    <font>
      <sz val="9"/>
      <color indexed="81"/>
      <name val="Tahoma"/>
      <charset val="1"/>
    </font>
  </fonts>
  <fills count="7">
    <fill>
      <patternFill patternType="none"/>
    </fill>
    <fill>
      <patternFill patternType="gray125"/>
    </fill>
    <fill>
      <patternFill patternType="solid">
        <fgColor theme="3" tint="0.89999084444715716"/>
        <bgColor indexed="64"/>
      </patternFill>
    </fill>
    <fill>
      <patternFill patternType="solid">
        <fgColor theme="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64">
    <xf numFmtId="0" fontId="0" fillId="0" borderId="0" xfId="0"/>
    <xf numFmtId="0" fontId="3" fillId="2" borderId="1" xfId="0"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164" fontId="3" fillId="2" borderId="2" xfId="0" applyNumberFormat="1" applyFont="1" applyFill="1" applyBorder="1" applyAlignment="1">
      <alignment horizontal="center"/>
    </xf>
    <xf numFmtId="164" fontId="3" fillId="2" borderId="3" xfId="0" applyNumberFormat="1" applyFont="1" applyFill="1" applyBorder="1" applyAlignment="1">
      <alignment horizontal="center"/>
    </xf>
    <xf numFmtId="3" fontId="3" fillId="2" borderId="1" xfId="0" applyNumberFormat="1" applyFont="1" applyFill="1" applyBorder="1" applyAlignment="1">
      <alignment horizontal="center"/>
    </xf>
    <xf numFmtId="3" fontId="3" fillId="2" borderId="2" xfId="0" applyNumberFormat="1" applyFont="1" applyFill="1" applyBorder="1" applyAlignment="1">
      <alignment horizontal="center"/>
    </xf>
    <xf numFmtId="3" fontId="3" fillId="2" borderId="3" xfId="0" applyNumberFormat="1" applyFont="1" applyFill="1" applyBorder="1" applyAlignment="1">
      <alignment horizontal="center"/>
    </xf>
    <xf numFmtId="164" fontId="3" fillId="2" borderId="1" xfId="0" applyNumberFormat="1" applyFont="1" applyFill="1" applyBorder="1" applyAlignment="1">
      <alignment horizontal="center"/>
    </xf>
    <xf numFmtId="0" fontId="3" fillId="2" borderId="2" xfId="0" applyFont="1" applyFill="1" applyBorder="1" applyAlignment="1">
      <alignment horizontal="center"/>
    </xf>
    <xf numFmtId="0" fontId="3" fillId="2" borderId="2" xfId="0" applyFont="1" applyFill="1" applyBorder="1" applyAlignment="1">
      <alignment horizontal="left"/>
    </xf>
    <xf numFmtId="0" fontId="0" fillId="3" borderId="0" xfId="0" applyFill="1"/>
    <xf numFmtId="0" fontId="3" fillId="2" borderId="4" xfId="0" applyFont="1" applyFill="1" applyBorder="1" applyAlignment="1">
      <alignment horizontal="center"/>
    </xf>
    <xf numFmtId="0" fontId="3" fillId="2" borderId="0" xfId="0" applyFont="1" applyFill="1" applyAlignment="1">
      <alignment horizontal="center"/>
    </xf>
    <xf numFmtId="0" fontId="3" fillId="2" borderId="5" xfId="0" applyFont="1" applyFill="1" applyBorder="1" applyAlignment="1">
      <alignment horizontal="center"/>
    </xf>
    <xf numFmtId="164" fontId="3" fillId="2" borderId="0" xfId="0" applyNumberFormat="1" applyFont="1" applyFill="1" applyAlignment="1">
      <alignment horizontal="center"/>
    </xf>
    <xf numFmtId="164" fontId="3" fillId="2" borderId="5" xfId="0" applyNumberFormat="1" applyFont="1" applyFill="1" applyBorder="1" applyAlignment="1">
      <alignment horizontal="center"/>
    </xf>
    <xf numFmtId="3" fontId="3" fillId="2" borderId="4" xfId="0" applyNumberFormat="1" applyFont="1" applyFill="1" applyBorder="1" applyAlignment="1">
      <alignment horizontal="center"/>
    </xf>
    <xf numFmtId="3" fontId="3" fillId="2" borderId="0" xfId="0" applyNumberFormat="1" applyFont="1" applyFill="1" applyAlignment="1">
      <alignment horizontal="center"/>
    </xf>
    <xf numFmtId="3" fontId="3" fillId="2" borderId="5" xfId="0" applyNumberFormat="1" applyFont="1" applyFill="1" applyBorder="1" applyAlignment="1">
      <alignment horizontal="center"/>
    </xf>
    <xf numFmtId="164" fontId="3" fillId="2" borderId="4" xfId="0" applyNumberFormat="1" applyFont="1" applyFill="1" applyBorder="1" applyAlignment="1">
      <alignment horizontal="center"/>
    </xf>
    <xf numFmtId="0" fontId="3" fillId="2" borderId="0" xfId="0" applyFont="1" applyFill="1" applyAlignment="1">
      <alignment horizontal="left"/>
    </xf>
    <xf numFmtId="0" fontId="2" fillId="2" borderId="4" xfId="0" applyFont="1" applyFill="1" applyBorder="1" applyAlignment="1">
      <alignment horizontal="center"/>
    </xf>
    <xf numFmtId="0" fontId="2" fillId="2" borderId="0" xfId="0" applyFont="1" applyFill="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right"/>
    </xf>
    <xf numFmtId="0" fontId="2" fillId="2" borderId="6" xfId="0" applyFont="1" applyFill="1" applyBorder="1" applyAlignment="1">
      <alignment horizontal="center"/>
    </xf>
    <xf numFmtId="0" fontId="2" fillId="2" borderId="7" xfId="0" applyFont="1" applyFill="1" applyBorder="1" applyAlignment="1">
      <alignment horizontal="right"/>
    </xf>
    <xf numFmtId="0" fontId="2" fillId="2" borderId="8" xfId="0" applyFont="1" applyFill="1" applyBorder="1" applyAlignment="1">
      <alignment horizontal="right"/>
    </xf>
    <xf numFmtId="0" fontId="2" fillId="2" borderId="0" xfId="0" applyFont="1" applyFill="1" applyAlignment="1">
      <alignment horizontal="center" wrapText="1"/>
    </xf>
    <xf numFmtId="0" fontId="2" fillId="2" borderId="0" xfId="2" applyNumberFormat="1" applyFont="1" applyFill="1" applyBorder="1" applyAlignment="1">
      <alignment horizontal="center"/>
    </xf>
    <xf numFmtId="0" fontId="2" fillId="2" borderId="4" xfId="2" applyNumberFormat="1" applyFont="1" applyFill="1" applyBorder="1" applyAlignment="1">
      <alignment horizontal="center"/>
    </xf>
    <xf numFmtId="0" fontId="2" fillId="2" borderId="5" xfId="2" applyNumberFormat="1" applyFont="1" applyFill="1" applyBorder="1" applyAlignment="1">
      <alignment horizontal="center"/>
    </xf>
    <xf numFmtId="0" fontId="2" fillId="2" borderId="5" xfId="2" applyNumberFormat="1" applyFont="1" applyFill="1" applyBorder="1" applyAlignment="1">
      <alignment horizontal="center" wrapText="1"/>
    </xf>
    <xf numFmtId="0" fontId="2" fillId="2" borderId="5" xfId="0" applyFont="1" applyFill="1" applyBorder="1"/>
    <xf numFmtId="0" fontId="0" fillId="3" borderId="4" xfId="0" applyFill="1" applyBorder="1" applyAlignment="1">
      <alignment horizontal="center"/>
    </xf>
    <xf numFmtId="0" fontId="0" fillId="3" borderId="0" xfId="0" applyFill="1" applyAlignment="1">
      <alignment horizontal="center"/>
    </xf>
    <xf numFmtId="164" fontId="0" fillId="3" borderId="5" xfId="0" applyNumberFormat="1" applyFill="1" applyBorder="1" applyAlignment="1">
      <alignment horizontal="center"/>
    </xf>
    <xf numFmtId="164" fontId="0" fillId="3" borderId="0" xfId="0" applyNumberFormat="1" applyFill="1" applyAlignment="1">
      <alignment horizontal="right"/>
    </xf>
    <xf numFmtId="164" fontId="0" fillId="3" borderId="5" xfId="0" applyNumberFormat="1" applyFill="1" applyBorder="1" applyAlignment="1">
      <alignment horizontal="right"/>
    </xf>
    <xf numFmtId="164" fontId="0" fillId="3" borderId="4" xfId="0" applyNumberFormat="1" applyFill="1" applyBorder="1" applyAlignment="1">
      <alignment horizontal="right"/>
    </xf>
    <xf numFmtId="9" fontId="0" fillId="3" borderId="4" xfId="2" applyFont="1" applyFill="1" applyBorder="1" applyAlignment="1">
      <alignment horizontal="right"/>
    </xf>
    <xf numFmtId="9" fontId="0" fillId="3" borderId="0" xfId="2" applyFont="1" applyFill="1" applyBorder="1" applyAlignment="1">
      <alignment horizontal="right"/>
    </xf>
    <xf numFmtId="9" fontId="0" fillId="3" borderId="5" xfId="2" applyFont="1" applyFill="1" applyBorder="1" applyAlignment="1">
      <alignment horizontal="right"/>
    </xf>
    <xf numFmtId="164" fontId="0" fillId="3" borderId="4" xfId="2" applyNumberFormat="1" applyFont="1" applyFill="1" applyBorder="1" applyAlignment="1">
      <alignment horizontal="right"/>
    </xf>
    <xf numFmtId="164" fontId="0" fillId="3" borderId="0" xfId="2" applyNumberFormat="1" applyFont="1" applyFill="1" applyBorder="1" applyAlignment="1">
      <alignment horizontal="right"/>
    </xf>
    <xf numFmtId="165" fontId="0" fillId="3" borderId="4" xfId="2" applyNumberFormat="1" applyFont="1" applyFill="1" applyBorder="1" applyAlignment="1">
      <alignment horizontal="right"/>
    </xf>
    <xf numFmtId="165" fontId="0" fillId="3" borderId="0" xfId="2" applyNumberFormat="1" applyFont="1" applyFill="1" applyBorder="1" applyAlignment="1">
      <alignment horizontal="right"/>
    </xf>
    <xf numFmtId="164" fontId="0" fillId="3" borderId="4" xfId="0" applyNumberFormat="1" applyFill="1" applyBorder="1" applyAlignment="1">
      <alignment horizontal="center"/>
    </xf>
    <xf numFmtId="166" fontId="0" fillId="3" borderId="5" xfId="0" applyNumberFormat="1" applyFill="1" applyBorder="1" applyAlignment="1">
      <alignment horizontal="center"/>
    </xf>
    <xf numFmtId="9" fontId="0" fillId="3" borderId="0" xfId="2" applyFont="1" applyFill="1" applyBorder="1" applyAlignment="1">
      <alignment horizontal="center"/>
    </xf>
    <xf numFmtId="164" fontId="0" fillId="3" borderId="0" xfId="2" applyNumberFormat="1" applyFont="1" applyFill="1" applyBorder="1" applyAlignment="1">
      <alignment horizontal="center"/>
    </xf>
    <xf numFmtId="165" fontId="0" fillId="3" borderId="4" xfId="2" applyNumberFormat="1" applyFont="1" applyFill="1" applyBorder="1" applyAlignment="1">
      <alignment horizontal="center"/>
    </xf>
    <xf numFmtId="165" fontId="0" fillId="3" borderId="5" xfId="2" applyNumberFormat="1" applyFont="1" applyFill="1" applyBorder="1" applyAlignment="1">
      <alignment horizontal="center"/>
    </xf>
    <xf numFmtId="0" fontId="0" fillId="3" borderId="5" xfId="2" applyNumberFormat="1" applyFont="1" applyFill="1" applyBorder="1" applyAlignment="1">
      <alignment horizontal="center"/>
    </xf>
    <xf numFmtId="0" fontId="0" fillId="4" borderId="4" xfId="0" applyFill="1" applyBorder="1" applyAlignment="1">
      <alignment horizontal="center"/>
    </xf>
    <xf numFmtId="0" fontId="0" fillId="3" borderId="0" xfId="0" applyFill="1" applyAlignment="1">
      <alignment horizontal="left"/>
    </xf>
    <xf numFmtId="0" fontId="0" fillId="3" borderId="4" xfId="0" applyFill="1" applyBorder="1"/>
    <xf numFmtId="0" fontId="0" fillId="3" borderId="5" xfId="0" applyFill="1" applyBorder="1"/>
    <xf numFmtId="167" fontId="0" fillId="3" borderId="0" xfId="1" applyNumberFormat="1" applyFont="1" applyFill="1" applyBorder="1" applyAlignment="1">
      <alignment horizontal="center"/>
    </xf>
    <xf numFmtId="0" fontId="0" fillId="5" borderId="4" xfId="0" applyFill="1" applyBorder="1" applyAlignment="1">
      <alignment horizontal="center"/>
    </xf>
    <xf numFmtId="167" fontId="0" fillId="3" borderId="0" xfId="1" applyNumberFormat="1" applyFont="1" applyFill="1" applyBorder="1" applyAlignment="1">
      <alignment horizontal="left"/>
    </xf>
    <xf numFmtId="167" fontId="0" fillId="3" borderId="4" xfId="1" applyNumberFormat="1" applyFont="1" applyFill="1" applyBorder="1"/>
    <xf numFmtId="167" fontId="0" fillId="3" borderId="0" xfId="1" applyNumberFormat="1" applyFont="1" applyFill="1" applyBorder="1"/>
    <xf numFmtId="167" fontId="0" fillId="3" borderId="5" xfId="1" applyNumberFormat="1" applyFont="1" applyFill="1" applyBorder="1"/>
    <xf numFmtId="166" fontId="0" fillId="3" borderId="5" xfId="2" applyNumberFormat="1" applyFont="1" applyFill="1" applyBorder="1" applyAlignment="1">
      <alignment horizontal="center"/>
    </xf>
    <xf numFmtId="164" fontId="0" fillId="5" borderId="0" xfId="0" applyNumberFormat="1" applyFill="1" applyAlignment="1">
      <alignment horizontal="right"/>
    </xf>
    <xf numFmtId="0" fontId="0" fillId="6" borderId="4" xfId="0" applyFill="1" applyBorder="1" applyAlignment="1">
      <alignment horizontal="center"/>
    </xf>
    <xf numFmtId="164" fontId="0" fillId="0" borderId="0" xfId="0" applyNumberFormat="1" applyAlignment="1">
      <alignment horizontal="right"/>
    </xf>
    <xf numFmtId="164" fontId="4" fillId="0" borderId="0" xfId="0" applyNumberFormat="1" applyFont="1" applyAlignment="1">
      <alignment horizontal="right"/>
    </xf>
    <xf numFmtId="164" fontId="4" fillId="3" borderId="0" xfId="0" applyNumberFormat="1" applyFont="1" applyFill="1" applyAlignment="1">
      <alignment horizontal="right"/>
    </xf>
    <xf numFmtId="164" fontId="0" fillId="0" borderId="0" xfId="2" applyNumberFormat="1" applyFont="1" applyFill="1" applyBorder="1" applyAlignment="1">
      <alignment horizontal="right"/>
    </xf>
    <xf numFmtId="164" fontId="0" fillId="3" borderId="8" xfId="0" applyNumberFormat="1" applyFill="1" applyBorder="1" applyAlignment="1">
      <alignment horizontal="center"/>
    </xf>
    <xf numFmtId="166" fontId="0" fillId="3" borderId="7" xfId="0" applyNumberFormat="1" applyFill="1" applyBorder="1" applyAlignment="1">
      <alignment horizontal="center"/>
    </xf>
    <xf numFmtId="165" fontId="0" fillId="3" borderId="8" xfId="2" applyNumberFormat="1" applyFont="1" applyFill="1" applyBorder="1" applyAlignment="1">
      <alignment horizontal="center"/>
    </xf>
    <xf numFmtId="165" fontId="0" fillId="3" borderId="7" xfId="2" applyNumberFormat="1" applyFont="1" applyFill="1" applyBorder="1" applyAlignment="1">
      <alignment horizontal="center"/>
    </xf>
    <xf numFmtId="0" fontId="0" fillId="5" borderId="8" xfId="0" applyFill="1" applyBorder="1" applyAlignment="1">
      <alignment horizontal="center"/>
    </xf>
    <xf numFmtId="0" fontId="0" fillId="3" borderId="6" xfId="0" applyFill="1" applyBorder="1" applyAlignment="1">
      <alignment horizontal="center"/>
    </xf>
    <xf numFmtId="0" fontId="0" fillId="3" borderId="6" xfId="0" applyFill="1" applyBorder="1" applyAlignment="1">
      <alignment horizontal="left"/>
    </xf>
    <xf numFmtId="0" fontId="0" fillId="3" borderId="8" xfId="0" applyFill="1" applyBorder="1"/>
    <xf numFmtId="0" fontId="0" fillId="3" borderId="6" xfId="0" applyFill="1" applyBorder="1"/>
    <xf numFmtId="0" fontId="0" fillId="3" borderId="7" xfId="0" applyFill="1" applyBorder="1"/>
    <xf numFmtId="0" fontId="0" fillId="3" borderId="5" xfId="0" applyFill="1" applyBorder="1" applyAlignment="1">
      <alignment horizontal="center"/>
    </xf>
    <xf numFmtId="164" fontId="0" fillId="3" borderId="0" xfId="0" applyNumberFormat="1" applyFill="1" applyAlignment="1">
      <alignment horizontal="center"/>
    </xf>
    <xf numFmtId="164" fontId="3" fillId="2" borderId="0" xfId="0" applyNumberFormat="1" applyFont="1" applyFill="1" applyAlignment="1">
      <alignment horizontal="center"/>
    </xf>
    <xf numFmtId="3" fontId="3" fillId="2" borderId="0" xfId="0" applyNumberFormat="1" applyFont="1" applyFill="1" applyAlignment="1">
      <alignment horizontal="center"/>
    </xf>
    <xf numFmtId="0" fontId="3" fillId="2" borderId="0" xfId="0" applyFont="1" applyFill="1" applyAlignment="1">
      <alignment horizontal="center"/>
    </xf>
    <xf numFmtId="0" fontId="2" fillId="2" borderId="8" xfId="0" applyFont="1" applyFill="1" applyBorder="1" applyAlignment="1">
      <alignment horizontal="right" vertical="top"/>
    </xf>
    <xf numFmtId="0" fontId="2" fillId="2" borderId="6" xfId="0" applyFont="1" applyFill="1" applyBorder="1" applyAlignment="1">
      <alignment horizontal="right" vertical="top"/>
    </xf>
    <xf numFmtId="0" fontId="2" fillId="2" borderId="7" xfId="0" applyFont="1" applyFill="1" applyBorder="1" applyAlignment="1">
      <alignment horizontal="right" vertical="top"/>
    </xf>
    <xf numFmtId="0" fontId="2" fillId="2" borderId="0" xfId="0" applyFont="1" applyFill="1" applyAlignment="1">
      <alignment horizontal="right" vertical="top"/>
    </xf>
    <xf numFmtId="0" fontId="2" fillId="2" borderId="6" xfId="2" applyNumberFormat="1" applyFont="1" applyFill="1" applyBorder="1" applyAlignment="1">
      <alignment horizontal="right" vertical="top"/>
    </xf>
    <xf numFmtId="0" fontId="2" fillId="2" borderId="7" xfId="2" applyNumberFormat="1" applyFont="1" applyFill="1" applyBorder="1" applyAlignment="1">
      <alignment horizontal="right" vertical="top"/>
    </xf>
    <xf numFmtId="0" fontId="2" fillId="2" borderId="8" xfId="2" applyNumberFormat="1" applyFont="1" applyFill="1" applyBorder="1" applyAlignment="1">
      <alignment horizontal="right" vertical="top"/>
    </xf>
    <xf numFmtId="0" fontId="0" fillId="3" borderId="0" xfId="0" applyFill="1" applyAlignment="1">
      <alignment horizontal="right" vertical="top"/>
    </xf>
    <xf numFmtId="0" fontId="0" fillId="0" borderId="4" xfId="0" applyBorder="1" applyAlignment="1">
      <alignment horizontal="center"/>
    </xf>
    <xf numFmtId="0" fontId="0" fillId="0" borderId="0" xfId="0" applyAlignment="1">
      <alignment horizontal="center"/>
    </xf>
    <xf numFmtId="0" fontId="0" fillId="0" borderId="5" xfId="0" applyBorder="1" applyAlignment="1">
      <alignment horizontal="center"/>
    </xf>
    <xf numFmtId="3" fontId="0" fillId="0" borderId="0" xfId="0" applyNumberFormat="1" applyAlignment="1">
      <alignment horizontal="right"/>
    </xf>
    <xf numFmtId="9" fontId="0" fillId="0" borderId="0" xfId="2" applyFont="1" applyFill="1" applyBorder="1" applyAlignment="1">
      <alignment horizontal="right"/>
    </xf>
    <xf numFmtId="165" fontId="0" fillId="0" borderId="0" xfId="0" applyNumberFormat="1" applyAlignment="1">
      <alignment horizontal="right"/>
    </xf>
    <xf numFmtId="164" fontId="0" fillId="0" borderId="4" xfId="2" applyNumberFormat="1" applyFont="1" applyFill="1" applyBorder="1" applyAlignment="1">
      <alignment horizontal="center"/>
    </xf>
    <xf numFmtId="164" fontId="0" fillId="0" borderId="0" xfId="2" applyNumberFormat="1" applyFont="1" applyFill="1" applyBorder="1" applyAlignment="1">
      <alignment horizontal="center"/>
    </xf>
    <xf numFmtId="3" fontId="0" fillId="0" borderId="4" xfId="2" applyNumberFormat="1" applyFont="1" applyFill="1" applyBorder="1" applyAlignment="1">
      <alignment horizontal="center"/>
    </xf>
    <xf numFmtId="3" fontId="0" fillId="0" borderId="5" xfId="2" applyNumberFormat="1" applyFont="1" applyFill="1" applyBorder="1" applyAlignment="1">
      <alignment horizontal="center"/>
    </xf>
    <xf numFmtId="164" fontId="0" fillId="0" borderId="4" xfId="0" applyNumberFormat="1" applyBorder="1" applyAlignment="1">
      <alignment horizontal="center"/>
    </xf>
    <xf numFmtId="166" fontId="0" fillId="0" borderId="5" xfId="0" applyNumberFormat="1" applyBorder="1" applyAlignment="1">
      <alignment horizontal="center"/>
    </xf>
    <xf numFmtId="164" fontId="0" fillId="0" borderId="0" xfId="0" applyNumberFormat="1" applyAlignment="1">
      <alignment horizontal="center"/>
    </xf>
    <xf numFmtId="9" fontId="0" fillId="0" borderId="0" xfId="2" applyFont="1" applyFill="1" applyBorder="1" applyAlignment="1">
      <alignment horizontal="center"/>
    </xf>
    <xf numFmtId="165" fontId="0" fillId="4" borderId="4" xfId="0" applyNumberFormat="1" applyFill="1" applyBorder="1" applyAlignment="1">
      <alignment horizontal="center"/>
    </xf>
    <xf numFmtId="166" fontId="0" fillId="0" borderId="0" xfId="2" applyNumberFormat="1" applyFont="1" applyFill="1" applyBorder="1" applyAlignment="1">
      <alignment horizontal="center"/>
    </xf>
    <xf numFmtId="0" fontId="0" fillId="0" borderId="5" xfId="2" applyNumberFormat="1" applyFont="1" applyFill="1" applyBorder="1" applyAlignment="1">
      <alignment horizontal="center"/>
    </xf>
    <xf numFmtId="0" fontId="0" fillId="0" borderId="4" xfId="2" applyNumberFormat="1" applyFont="1" applyFill="1" applyBorder="1" applyAlignment="1">
      <alignment horizontal="center"/>
    </xf>
    <xf numFmtId="0" fontId="0" fillId="0" borderId="0" xfId="2" applyNumberFormat="1" applyFont="1" applyFill="1" applyBorder="1" applyAlignment="1">
      <alignment horizontal="center"/>
    </xf>
    <xf numFmtId="0" fontId="0" fillId="0" borderId="0" xfId="2" applyNumberFormat="1" applyFont="1" applyFill="1" applyBorder="1" applyAlignment="1">
      <alignment horizontal="left"/>
    </xf>
    <xf numFmtId="0" fontId="0" fillId="0" borderId="5" xfId="0" applyBorder="1"/>
    <xf numFmtId="3" fontId="0" fillId="3" borderId="0" xfId="0" applyNumberFormat="1" applyFill="1" applyAlignment="1">
      <alignment horizontal="right"/>
    </xf>
    <xf numFmtId="165" fontId="0" fillId="3" borderId="0" xfId="0" applyNumberFormat="1" applyFill="1" applyAlignment="1">
      <alignment horizontal="right"/>
    </xf>
    <xf numFmtId="9" fontId="1" fillId="3" borderId="0" xfId="2" applyFont="1" applyFill="1" applyBorder="1" applyAlignment="1">
      <alignment horizontal="right"/>
    </xf>
    <xf numFmtId="164" fontId="0" fillId="3" borderId="4" xfId="2" applyNumberFormat="1" applyFont="1" applyFill="1" applyBorder="1" applyAlignment="1">
      <alignment horizontal="center"/>
    </xf>
    <xf numFmtId="166" fontId="0" fillId="3" borderId="0" xfId="2" applyNumberFormat="1" applyFont="1" applyFill="1" applyBorder="1" applyAlignment="1">
      <alignment horizontal="center"/>
    </xf>
    <xf numFmtId="3" fontId="0" fillId="3" borderId="4" xfId="2" applyNumberFormat="1" applyFont="1" applyFill="1" applyBorder="1" applyAlignment="1">
      <alignment horizontal="center"/>
    </xf>
    <xf numFmtId="3" fontId="0" fillId="3" borderId="5" xfId="2" applyNumberFormat="1" applyFont="1" applyFill="1" applyBorder="1" applyAlignment="1">
      <alignment horizontal="center"/>
    </xf>
    <xf numFmtId="0" fontId="0" fillId="3" borderId="4" xfId="2" applyNumberFormat="1" applyFont="1" applyFill="1" applyBorder="1" applyAlignment="1">
      <alignment horizontal="center"/>
    </xf>
    <xf numFmtId="0" fontId="0" fillId="3" borderId="0" xfId="2" applyNumberFormat="1" applyFont="1" applyFill="1" applyBorder="1" applyAlignment="1">
      <alignment horizontal="center"/>
    </xf>
    <xf numFmtId="0" fontId="0" fillId="3" borderId="0" xfId="2" applyNumberFormat="1" applyFont="1" applyFill="1" applyBorder="1" applyAlignment="1">
      <alignment horizontal="left"/>
    </xf>
    <xf numFmtId="166" fontId="0" fillId="3" borderId="0" xfId="2" applyNumberFormat="1" applyFont="1" applyFill="1" applyBorder="1" applyAlignment="1">
      <alignment horizontal="right"/>
    </xf>
    <xf numFmtId="0" fontId="0" fillId="5" borderId="0" xfId="0" applyFill="1"/>
    <xf numFmtId="9" fontId="1" fillId="3" borderId="0" xfId="2" applyFont="1" applyFill="1" applyAlignment="1">
      <alignment horizontal="right"/>
    </xf>
    <xf numFmtId="164" fontId="1" fillId="3" borderId="4" xfId="2" applyNumberFormat="1" applyFont="1" applyFill="1" applyBorder="1" applyAlignment="1">
      <alignment horizontal="center"/>
    </xf>
    <xf numFmtId="166" fontId="1" fillId="3" borderId="0" xfId="2" applyNumberFormat="1" applyFont="1" applyFill="1" applyBorder="1" applyAlignment="1">
      <alignment horizontal="center"/>
    </xf>
    <xf numFmtId="3" fontId="1" fillId="3" borderId="4" xfId="2" applyNumberFormat="1" applyFont="1" applyFill="1" applyBorder="1" applyAlignment="1">
      <alignment horizontal="center"/>
    </xf>
    <xf numFmtId="166" fontId="1" fillId="3" borderId="5" xfId="2" applyNumberFormat="1" applyFont="1" applyFill="1" applyBorder="1" applyAlignment="1">
      <alignment horizontal="center"/>
    </xf>
    <xf numFmtId="9" fontId="1" fillId="3" borderId="0" xfId="2" applyFont="1" applyFill="1" applyBorder="1" applyAlignment="1">
      <alignment horizontal="center"/>
    </xf>
    <xf numFmtId="165" fontId="1" fillId="3" borderId="5" xfId="2" applyNumberFormat="1" applyFont="1" applyFill="1" applyBorder="1" applyAlignment="1">
      <alignment horizontal="center"/>
    </xf>
    <xf numFmtId="0" fontId="1" fillId="3" borderId="4" xfId="2" applyNumberFormat="1" applyFont="1" applyFill="1" applyBorder="1" applyAlignment="1">
      <alignment horizontal="center"/>
    </xf>
    <xf numFmtId="0" fontId="1" fillId="3" borderId="0" xfId="2" applyNumberFormat="1" applyFont="1" applyFill="1" applyBorder="1" applyAlignment="1">
      <alignment horizontal="center"/>
    </xf>
    <xf numFmtId="0" fontId="1" fillId="3" borderId="0" xfId="2" applyNumberFormat="1" applyFont="1" applyFill="1" applyBorder="1" applyAlignment="1">
      <alignment horizontal="left"/>
    </xf>
    <xf numFmtId="165" fontId="0" fillId="6" borderId="4" xfId="0" applyNumberFormat="1" applyFill="1" applyBorder="1" applyAlignment="1">
      <alignment horizontal="center"/>
    </xf>
    <xf numFmtId="165" fontId="0" fillId="5" borderId="4" xfId="0" applyNumberFormat="1" applyFill="1" applyBorder="1" applyAlignment="1">
      <alignment horizontal="center"/>
    </xf>
    <xf numFmtId="164" fontId="0" fillId="3" borderId="0" xfId="0" applyNumberFormat="1" applyFill="1"/>
    <xf numFmtId="0" fontId="1" fillId="3" borderId="5" xfId="2" applyNumberFormat="1" applyFont="1" applyFill="1" applyBorder="1" applyAlignment="1">
      <alignment horizontal="center"/>
    </xf>
    <xf numFmtId="164" fontId="1" fillId="3" borderId="0" xfId="2" applyNumberFormat="1" applyFont="1" applyFill="1" applyBorder="1" applyAlignment="1">
      <alignment horizontal="center"/>
    </xf>
    <xf numFmtId="3" fontId="1" fillId="3" borderId="5" xfId="2" applyNumberFormat="1" applyFont="1" applyFill="1" applyBorder="1" applyAlignment="1">
      <alignment horizontal="center"/>
    </xf>
    <xf numFmtId="0" fontId="0" fillId="3" borderId="8" xfId="0" applyFill="1" applyBorder="1" applyAlignment="1">
      <alignment horizontal="center"/>
    </xf>
    <xf numFmtId="0" fontId="0" fillId="3" borderId="7" xfId="0" applyFill="1" applyBorder="1" applyAlignment="1">
      <alignment horizontal="center"/>
    </xf>
    <xf numFmtId="164" fontId="0" fillId="3" borderId="8" xfId="2" applyNumberFormat="1" applyFont="1" applyFill="1" applyBorder="1" applyAlignment="1">
      <alignment horizontal="center"/>
    </xf>
    <xf numFmtId="164" fontId="0" fillId="3" borderId="6" xfId="2" applyNumberFormat="1" applyFont="1" applyFill="1" applyBorder="1" applyAlignment="1">
      <alignment horizontal="center"/>
    </xf>
    <xf numFmtId="3" fontId="0" fillId="3" borderId="8" xfId="2" applyNumberFormat="1" applyFont="1" applyFill="1" applyBorder="1" applyAlignment="1">
      <alignment horizontal="center"/>
    </xf>
    <xf numFmtId="166" fontId="0" fillId="3" borderId="7" xfId="2" applyNumberFormat="1" applyFont="1" applyFill="1" applyBorder="1" applyAlignment="1">
      <alignment horizontal="center"/>
    </xf>
    <xf numFmtId="164" fontId="0" fillId="3" borderId="6" xfId="0" applyNumberFormat="1" applyFill="1" applyBorder="1" applyAlignment="1">
      <alignment horizontal="center"/>
    </xf>
    <xf numFmtId="9" fontId="0" fillId="3" borderId="6" xfId="2" applyFont="1" applyFill="1" applyBorder="1" applyAlignment="1">
      <alignment horizontal="center"/>
    </xf>
    <xf numFmtId="165" fontId="0" fillId="6" borderId="8" xfId="0" applyNumberFormat="1" applyFill="1" applyBorder="1" applyAlignment="1">
      <alignment horizontal="center"/>
    </xf>
    <xf numFmtId="0" fontId="0" fillId="3" borderId="7" xfId="2" applyNumberFormat="1" applyFont="1" applyFill="1" applyBorder="1" applyAlignment="1">
      <alignment horizontal="center"/>
    </xf>
    <xf numFmtId="0" fontId="0" fillId="3" borderId="8" xfId="2" applyNumberFormat="1" applyFont="1" applyFill="1" applyBorder="1" applyAlignment="1">
      <alignment horizontal="center"/>
    </xf>
    <xf numFmtId="0" fontId="0" fillId="3" borderId="6" xfId="2" applyNumberFormat="1" applyFont="1" applyFill="1" applyBorder="1" applyAlignment="1">
      <alignment horizontal="center"/>
    </xf>
    <xf numFmtId="0" fontId="0" fillId="3" borderId="6" xfId="2" applyNumberFormat="1" applyFont="1" applyFill="1" applyBorder="1" applyAlignment="1">
      <alignment horizontal="left"/>
    </xf>
    <xf numFmtId="9" fontId="0" fillId="3" borderId="0" xfId="2" applyFont="1" applyFill="1" applyAlignment="1">
      <alignment horizontal="right"/>
    </xf>
    <xf numFmtId="0" fontId="0" fillId="3" borderId="0" xfId="0" applyFill="1" applyAlignment="1">
      <alignment horizontal="right"/>
    </xf>
    <xf numFmtId="3" fontId="0" fillId="3" borderId="0" xfId="0" applyNumberFormat="1" applyFill="1" applyAlignment="1">
      <alignment horizontal="center"/>
    </xf>
    <xf numFmtId="165" fontId="0" fillId="3" borderId="0" xfId="0" applyNumberFormat="1" applyFill="1" applyAlignment="1">
      <alignment horizontal="center"/>
    </xf>
    <xf numFmtId="168" fontId="0" fillId="3" borderId="0" xfId="0" applyNumberFormat="1" applyFill="1" applyAlignment="1">
      <alignment horizontal="center"/>
    </xf>
    <xf numFmtId="14" fontId="0" fillId="3" borderId="0" xfId="0" applyNumberFormat="1" applyFill="1" applyAlignment="1">
      <alignment horizontal="center"/>
    </xf>
  </cellXfs>
  <cellStyles count="3">
    <cellStyle name="Comma" xfId="1" builtinId="3"/>
    <cellStyle name="Normal" xfId="0" builtinId="0"/>
    <cellStyle name="Percent" xfId="2" builtinId="5"/>
  </cellStyles>
  <dxfs count="8">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bbeckham_pontuscapital_com/Documents/Pontus%20Portfolio%20%20.%20v9.xlsx" TargetMode="External"/><Relationship Id="rId2" Type="http://schemas.openxmlformats.org/officeDocument/2006/relationships/externalLinkPath" Target="https://pontuscapital-my.sharepoint.com/personal/bbeckham_pontuscapital_com/Documents/Pontus%20Portfolio%20%20.%20v9.xlsx" TargetMode="External"/><Relationship Id="rId1" Type="http://schemas.openxmlformats.org/officeDocument/2006/relationships/externalLinkPath" Target="/personal/bbeckham_pontuscapital_com/Documents/Pontus%20Portfolio%20%20.%20v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Nick\Dropbox\SLB%20Opportunity%20Fund\-%20Portfolio%20Management\Pontus%20Portfolio\Pontus%20Portfolio_v18.xlsx" TargetMode="External"/><Relationship Id="rId1" Type="http://schemas.openxmlformats.org/officeDocument/2006/relationships/externalLinkPath" Target="file:///C:\Users\Nick\Dropbox\SLB%20Opportunity%20Fund\-%20Portfolio%20Management\Pontus%20Portfolio\Pontus%20Portfolio_v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perty Summary"/>
      <sheetName val="For Lease"/>
      <sheetName val="Sales &amp; Leasing Bonus"/>
      <sheetName val="Completed Tasks"/>
      <sheetName val="Triple Nets"/>
      <sheetName val="Corp Financials"/>
      <sheetName val="P&amp;Ls"/>
      <sheetName val="Sheet1"/>
      <sheetName val="Property Tax"/>
      <sheetName val="Listing Agreements"/>
      <sheetName val="Insurance"/>
      <sheetName val="Rent Roll"/>
      <sheetName val="Tearsheet"/>
      <sheetName val="Offer Evaluation"/>
      <sheetName val="Monthly Marketing Updates"/>
      <sheetName val="BOV Data"/>
      <sheetName val="BOV Summary"/>
      <sheetName val="Vault Portfolio"/>
      <sheetName val="Activity Tracker"/>
      <sheetName val="Contacts"/>
      <sheetName val="Key Dates"/>
      <sheetName val="Financials Request"/>
      <sheetName val="Portfolio Summary"/>
      <sheetName val="Debt Schedule"/>
      <sheetName val="Branch Deposits"/>
      <sheetName val="Property Tax Tracker"/>
      <sheetName val="Broker Interest"/>
      <sheetName val="Vault Update"/>
    </sheetNames>
    <sheetDataSet>
      <sheetData sheetId="0" refreshError="1">
        <row r="1">
          <cell r="A1">
            <v>45898</v>
          </cell>
        </row>
        <row r="2">
          <cell r="A2" t="str">
            <v>Location</v>
          </cell>
          <cell r="E2" t="str">
            <v>Description</v>
          </cell>
          <cell r="AB2" t="str">
            <v>Business Plan</v>
          </cell>
        </row>
        <row r="3">
          <cell r="A3" t="str">
            <v>Address</v>
          </cell>
          <cell r="B3" t="str">
            <v>City</v>
          </cell>
          <cell r="C3" t="str">
            <v>ST</v>
          </cell>
          <cell r="D3" t="str">
            <v>Zip</v>
          </cell>
          <cell r="E3" t="str">
            <v>Banner</v>
          </cell>
          <cell r="F3" t="str">
            <v>Tenant (Legal Entity)</v>
          </cell>
          <cell r="H3" t="str">
            <v>Industry</v>
          </cell>
          <cell r="AB3" t="str">
            <v>Owner Entity</v>
          </cell>
          <cell r="AC3" t="str">
            <v>PID</v>
          </cell>
        </row>
        <row r="4">
          <cell r="A4" t="str">
            <v>99 East 5th Street</v>
          </cell>
          <cell r="B4" t="str">
            <v>Douglas (14184)</v>
          </cell>
          <cell r="C4" t="str">
            <v>AZ</v>
          </cell>
          <cell r="D4">
            <v>85607</v>
          </cell>
          <cell r="E4" t="str">
            <v>Burger King</v>
          </cell>
          <cell r="F4" t="str">
            <v>Kraf, Inc.</v>
          </cell>
          <cell r="H4" t="str">
            <v>Restaurants</v>
          </cell>
          <cell r="AB4" t="str">
            <v>BK Portfolio</v>
          </cell>
          <cell r="AC4" t="str">
            <v>BK99</v>
          </cell>
        </row>
        <row r="5">
          <cell r="A5" t="str">
            <v>3485 Ajo Way</v>
          </cell>
          <cell r="B5" t="str">
            <v>Tucson (9644)</v>
          </cell>
          <cell r="C5" t="str">
            <v>AZ</v>
          </cell>
          <cell r="D5">
            <v>85713</v>
          </cell>
          <cell r="E5" t="str">
            <v>Burger King</v>
          </cell>
          <cell r="F5" t="str">
            <v>Kraf, Inc.</v>
          </cell>
          <cell r="H5" t="str">
            <v>Restaurants</v>
          </cell>
          <cell r="AB5" t="str">
            <v>BK Portfolio</v>
          </cell>
          <cell r="AC5" t="str">
            <v>BK3485</v>
          </cell>
        </row>
        <row r="6">
          <cell r="A6" t="str">
            <v xml:space="preserve"> 1320 Old Country Rd</v>
          </cell>
          <cell r="B6" t="str">
            <v>Riverhead</v>
          </cell>
          <cell r="C6" t="str">
            <v>NY</v>
          </cell>
          <cell r="D6">
            <v>11901</v>
          </cell>
          <cell r="E6" t="str">
            <v>Kia / Chevrolet</v>
          </cell>
          <cell r="F6" t="str">
            <v>Dennis &amp; Co Holdings, LLC</v>
          </cell>
          <cell r="H6" t="str">
            <v>Auto</v>
          </cell>
          <cell r="AB6" t="str">
            <v>DC Riverhead</v>
          </cell>
          <cell r="AC6" t="str">
            <v>DC1320</v>
          </cell>
        </row>
        <row r="7">
          <cell r="A7" t="str">
            <v>950 Evernia St</v>
          </cell>
          <cell r="B7" t="str">
            <v>West Palm Beach</v>
          </cell>
          <cell r="C7" t="str">
            <v>FL</v>
          </cell>
          <cell r="D7">
            <v>33401</v>
          </cell>
          <cell r="E7" t="str">
            <v>Aria</v>
          </cell>
          <cell r="F7" t="str">
            <v>Ethema Health Corporation</v>
          </cell>
          <cell r="H7" t="str">
            <v>Health Care</v>
          </cell>
          <cell r="AB7" t="str">
            <v>EHC Palm Beach</v>
          </cell>
          <cell r="AC7" t="str">
            <v>EHC950</v>
          </cell>
        </row>
        <row r="8">
          <cell r="A8" t="str">
            <v>5423 N Lake Drive</v>
          </cell>
          <cell r="B8" t="str">
            <v>Morrow</v>
          </cell>
          <cell r="C8" t="str">
            <v>GA</v>
          </cell>
          <cell r="D8">
            <v>30260</v>
          </cell>
          <cell r="E8" t="str">
            <v>Kabobs</v>
          </cell>
          <cell r="F8" t="str">
            <v>Kabobs Acquisition, LLC</v>
          </cell>
          <cell r="H8" t="str">
            <v>Food</v>
          </cell>
          <cell r="AB8" t="str">
            <v>GCP Atlanta</v>
          </cell>
          <cell r="AC8" t="str">
            <v>GCP5423</v>
          </cell>
        </row>
        <row r="9">
          <cell r="A9" t="str">
            <v>5377 N Lake Drive</v>
          </cell>
          <cell r="B9" t="str">
            <v>Morrow</v>
          </cell>
          <cell r="C9" t="str">
            <v>GA</v>
          </cell>
          <cell r="D9">
            <v>30260</v>
          </cell>
          <cell r="E9" t="str">
            <v>Kabobs</v>
          </cell>
          <cell r="F9" t="str">
            <v>Kabobs Acquisition, LLC</v>
          </cell>
          <cell r="H9" t="str">
            <v>Food</v>
          </cell>
          <cell r="AB9" t="str">
            <v>GCP Atlanta</v>
          </cell>
          <cell r="AC9" t="str">
            <v>GCP5377</v>
          </cell>
        </row>
        <row r="10">
          <cell r="A10" t="str">
            <v>4813 Nashville Rd</v>
          </cell>
          <cell r="B10" t="str">
            <v>Bowling Green</v>
          </cell>
          <cell r="C10" t="str">
            <v>KY</v>
          </cell>
          <cell r="D10">
            <v>42101</v>
          </cell>
          <cell r="E10" t="str">
            <v>iMedia Brands</v>
          </cell>
          <cell r="F10" t="str">
            <v>iMedia Brands, Inc.</v>
          </cell>
          <cell r="H10" t="str">
            <v>Media</v>
          </cell>
          <cell r="AB10" t="str">
            <v>IMB Portfolio</v>
          </cell>
          <cell r="AC10" t="str">
            <v>IMB4813</v>
          </cell>
        </row>
        <row r="11">
          <cell r="A11" t="str">
            <v>4811 Nashville Rd</v>
          </cell>
          <cell r="B11" t="str">
            <v>Bowling Green</v>
          </cell>
          <cell r="C11" t="str">
            <v>KY</v>
          </cell>
          <cell r="D11">
            <v>42101</v>
          </cell>
          <cell r="E11" t="str">
            <v>iMedia Brands</v>
          </cell>
          <cell r="F11" t="str">
            <v>iMedia Brands, Inc.</v>
          </cell>
          <cell r="H11" t="str">
            <v>Media</v>
          </cell>
          <cell r="AB11" t="str">
            <v>IMB Portfolio</v>
          </cell>
          <cell r="AC11" t="str">
            <v>IMB4811</v>
          </cell>
        </row>
        <row r="12">
          <cell r="A12" t="str">
            <v>6740 Shady Oak Lane</v>
          </cell>
          <cell r="B12" t="str">
            <v>Eden Prairie</v>
          </cell>
          <cell r="C12" t="str">
            <v>MN</v>
          </cell>
          <cell r="D12">
            <v>55344</v>
          </cell>
          <cell r="E12" t="str">
            <v>iMedia Brands</v>
          </cell>
          <cell r="F12" t="str">
            <v>iMedia Brands, Inc.</v>
          </cell>
          <cell r="H12" t="str">
            <v>Media</v>
          </cell>
          <cell r="AB12" t="str">
            <v>IMB Portfolio</v>
          </cell>
          <cell r="AC12" t="str">
            <v>IMB6740</v>
          </cell>
        </row>
        <row r="13">
          <cell r="A13" t="str">
            <v>6690 Shady Oak Lane</v>
          </cell>
          <cell r="B13" t="str">
            <v>Eden Prairie</v>
          </cell>
          <cell r="C13" t="str">
            <v>MN</v>
          </cell>
          <cell r="D13">
            <v>55344</v>
          </cell>
          <cell r="H13" t="str">
            <v>Media</v>
          </cell>
          <cell r="AB13" t="str">
            <v>IMB Portfolio</v>
          </cell>
          <cell r="AC13" t="str">
            <v>IMB6690</v>
          </cell>
        </row>
        <row r="14">
          <cell r="A14" t="str">
            <v>2855 Auto Mall Parkway</v>
          </cell>
          <cell r="B14" t="str">
            <v>Fairfield</v>
          </cell>
          <cell r="C14" t="str">
            <v>CA</v>
          </cell>
          <cell r="D14">
            <v>94533</v>
          </cell>
          <cell r="E14" t="str">
            <v>Volkswagen</v>
          </cell>
          <cell r="F14" t="str">
            <v>Fairfield Automotive Partners, LLC</v>
          </cell>
          <cell r="H14" t="str">
            <v>Auto</v>
          </cell>
          <cell r="AB14" t="str">
            <v>MAG Fairfield II</v>
          </cell>
          <cell r="AC14" t="str">
            <v>MAG2855</v>
          </cell>
        </row>
        <row r="15">
          <cell r="A15" t="str">
            <v>2775 Auto Mall Pkwy</v>
          </cell>
          <cell r="B15" t="str">
            <v>Fairfield</v>
          </cell>
          <cell r="C15" t="str">
            <v>CA</v>
          </cell>
          <cell r="D15">
            <v>94533</v>
          </cell>
          <cell r="E15" t="str">
            <v>Audi</v>
          </cell>
          <cell r="F15" t="str">
            <v>Fairfield Automotive Partners, LLC</v>
          </cell>
          <cell r="H15" t="str">
            <v>Auto</v>
          </cell>
          <cell r="AB15" t="str">
            <v>MAG Fairfield III</v>
          </cell>
          <cell r="AC15" t="str">
            <v>MAG2775</v>
          </cell>
        </row>
        <row r="16">
          <cell r="A16" t="str">
            <v>4225 Woods Place</v>
          </cell>
          <cell r="B16" t="str">
            <v>Abilene</v>
          </cell>
          <cell r="C16" t="str">
            <v>TX</v>
          </cell>
          <cell r="D16">
            <v>79602</v>
          </cell>
          <cell r="E16" t="str">
            <v>Oceans Healthcare</v>
          </cell>
          <cell r="F16" t="str">
            <v>Oceans Acquisition, Inc.</v>
          </cell>
          <cell r="H16" t="str">
            <v>Health Care</v>
          </cell>
          <cell r="AB16" t="str">
            <v>OH Abilene</v>
          </cell>
          <cell r="AC16" t="str">
            <v>OH4225</v>
          </cell>
        </row>
        <row r="17">
          <cell r="A17" t="str">
            <v>3300 South FM 1788</v>
          </cell>
          <cell r="B17" t="str">
            <v>Midland</v>
          </cell>
          <cell r="C17" t="str">
            <v>TX</v>
          </cell>
          <cell r="D17">
            <v>79706</v>
          </cell>
          <cell r="E17" t="str">
            <v>Oceans Healthcare</v>
          </cell>
          <cell r="F17" t="str">
            <v>Oceans Acquisition, Inc.</v>
          </cell>
          <cell r="H17" t="str">
            <v>Health Care</v>
          </cell>
          <cell r="AB17" t="str">
            <v>OH Midland</v>
          </cell>
          <cell r="AC17" t="str">
            <v>OH3300</v>
          </cell>
        </row>
        <row r="18">
          <cell r="A18" t="str">
            <v>2621 North Bolton Avenue</v>
          </cell>
          <cell r="B18" t="str">
            <v>Alexandria</v>
          </cell>
          <cell r="C18" t="str">
            <v>LA</v>
          </cell>
          <cell r="D18">
            <v>71303</v>
          </cell>
          <cell r="E18" t="str">
            <v>Oceans Healthcare</v>
          </cell>
          <cell r="F18" t="str">
            <v>Oceans Acquisition, Inc.</v>
          </cell>
          <cell r="H18" t="str">
            <v>Health Care</v>
          </cell>
          <cell r="AB18" t="str">
            <v>OH Portfolio</v>
          </cell>
          <cell r="AC18" t="str">
            <v>OH2621</v>
          </cell>
        </row>
        <row r="19">
          <cell r="A19" t="str">
            <v>1310 Heather Drive</v>
          </cell>
          <cell r="B19" t="str">
            <v>Opelousas</v>
          </cell>
          <cell r="C19" t="str">
            <v>LA</v>
          </cell>
          <cell r="D19">
            <v>70570</v>
          </cell>
          <cell r="E19" t="str">
            <v>Oceans Healthcare</v>
          </cell>
          <cell r="F19" t="str">
            <v>Oceans Acquisition, Inc.</v>
          </cell>
          <cell r="H19" t="str">
            <v>Health Care</v>
          </cell>
          <cell r="AB19" t="str">
            <v>OH Portfolio</v>
          </cell>
          <cell r="AC19" t="str">
            <v>OH1310</v>
          </cell>
        </row>
        <row r="20">
          <cell r="A20" t="str">
            <v>302 West McNeese Street</v>
          </cell>
          <cell r="B20" t="str">
            <v>Lake Charles</v>
          </cell>
          <cell r="C20" t="str">
            <v>LA</v>
          </cell>
          <cell r="D20">
            <v>70605</v>
          </cell>
          <cell r="E20" t="str">
            <v>Oceans Healthcare</v>
          </cell>
          <cell r="F20" t="str">
            <v>Oceans Acquisition, Inc.</v>
          </cell>
          <cell r="H20" t="str">
            <v>Health Care</v>
          </cell>
          <cell r="AB20" t="str">
            <v>OH Portfolio</v>
          </cell>
          <cell r="AC20" t="str">
            <v>OH302</v>
          </cell>
        </row>
        <row r="21">
          <cell r="A21" t="str">
            <v>11135 Florida Boulevard</v>
          </cell>
          <cell r="B21" t="str">
            <v>Baton Rouge</v>
          </cell>
          <cell r="C21" t="str">
            <v>LA</v>
          </cell>
          <cell r="D21">
            <v>70815</v>
          </cell>
          <cell r="E21" t="str">
            <v>Oceans Healthcare</v>
          </cell>
          <cell r="F21" t="str">
            <v>Oceans Acquisition, Inc.</v>
          </cell>
          <cell r="H21" t="str">
            <v>Health Care</v>
          </cell>
          <cell r="AB21" t="str">
            <v>OH Portfolio</v>
          </cell>
          <cell r="AC21" t="str">
            <v>OH11135</v>
          </cell>
        </row>
        <row r="22">
          <cell r="A22" t="str">
            <v>1 Valpak Avenue</v>
          </cell>
          <cell r="B22" t="str">
            <v>St. Petersburg</v>
          </cell>
          <cell r="C22" t="str">
            <v>FL</v>
          </cell>
          <cell r="D22">
            <v>33716</v>
          </cell>
          <cell r="E22" t="str">
            <v>Valpak</v>
          </cell>
          <cell r="F22" t="str">
            <v>Valpak Direct Marketing Systems, Inc.</v>
          </cell>
          <cell r="H22" t="str">
            <v>Advertising</v>
          </cell>
          <cell r="AB22" t="str">
            <v>PAK Tampa</v>
          </cell>
          <cell r="AC22" t="str">
            <v>PAK1000</v>
          </cell>
        </row>
        <row r="23">
          <cell r="A23" t="str">
            <v>1120 WI-67 (Suite A)</v>
          </cell>
          <cell r="B23" t="str">
            <v>Kiel</v>
          </cell>
          <cell r="C23" t="str">
            <v>WI</v>
          </cell>
          <cell r="D23">
            <v>53042</v>
          </cell>
          <cell r="E23" t="str">
            <v>Ace Hardware</v>
          </cell>
          <cell r="F23" t="str">
            <v>Olde School Industries, LLC</v>
          </cell>
          <cell r="H23" t="str">
            <v>Home Improvement</v>
          </cell>
          <cell r="AB23" t="str">
            <v>PC Acquisition</v>
          </cell>
          <cell r="AC23" t="str">
            <v>PCA1120a</v>
          </cell>
        </row>
        <row r="24">
          <cell r="A24" t="str">
            <v>1120 WI-67 (Suite B)</v>
          </cell>
          <cell r="B24" t="str">
            <v>Kiel</v>
          </cell>
          <cell r="C24" t="str">
            <v>WI</v>
          </cell>
          <cell r="D24">
            <v>53042</v>
          </cell>
          <cell r="E24" t="str">
            <v>Dollar Tree / Family Dollar</v>
          </cell>
          <cell r="F24" t="str">
            <v>Family Dollar Stores of Wisconsin, LLC</v>
          </cell>
          <cell r="H24" t="str">
            <v>Dollar Stores</v>
          </cell>
          <cell r="AB24" t="str">
            <v>PC Acquisition</v>
          </cell>
          <cell r="AC24" t="str">
            <v>PCA1120b</v>
          </cell>
        </row>
        <row r="25">
          <cell r="A25" t="str">
            <v>287 Holland Road</v>
          </cell>
          <cell r="B25" t="str">
            <v>Holland</v>
          </cell>
          <cell r="C25" t="str">
            <v>PA</v>
          </cell>
          <cell r="D25">
            <v>18966</v>
          </cell>
          <cell r="E25" t="str">
            <v>Sunoco</v>
          </cell>
          <cell r="F25" t="str">
            <v>SSM Investments Inc.</v>
          </cell>
          <cell r="H25" t="str">
            <v>Convenience Stores</v>
          </cell>
          <cell r="AB25" t="str">
            <v>PC Shell</v>
          </cell>
          <cell r="AC25" t="str">
            <v>SH287</v>
          </cell>
        </row>
        <row r="26">
          <cell r="A26" t="str">
            <v>252 Route 130</v>
          </cell>
          <cell r="B26" t="str">
            <v>Bordentown</v>
          </cell>
          <cell r="C26" t="str">
            <v>NJ</v>
          </cell>
          <cell r="D26" t="str">
            <v>08505</v>
          </cell>
          <cell r="E26" t="str">
            <v>Amera</v>
          </cell>
          <cell r="F26" t="str">
            <v>Bronson Oil Lease Holdings, LLC</v>
          </cell>
          <cell r="H26" t="str">
            <v>Convenience Stores</v>
          </cell>
          <cell r="AB26" t="str">
            <v>PC Shell</v>
          </cell>
          <cell r="AC26" t="str">
            <v>SH252</v>
          </cell>
        </row>
        <row r="27">
          <cell r="A27" t="str">
            <v>4012 Atlantic Brigantine Blvd</v>
          </cell>
          <cell r="B27" t="str">
            <v>Brigantine</v>
          </cell>
          <cell r="C27" t="str">
            <v>NJ</v>
          </cell>
          <cell r="D27" t="str">
            <v>08203</v>
          </cell>
          <cell r="E27" t="str">
            <v>Conoco</v>
          </cell>
          <cell r="F27" t="str">
            <v>Bronson Oil Lease Holdings, LLC</v>
          </cell>
          <cell r="H27" t="str">
            <v>Convenience Stores</v>
          </cell>
          <cell r="AB27" t="str">
            <v>PC Shell</v>
          </cell>
          <cell r="AC27" t="str">
            <v>SH4012</v>
          </cell>
        </row>
        <row r="28">
          <cell r="A28" t="str">
            <v>2361 Admiral Wilson Blvd.</v>
          </cell>
          <cell r="B28" t="str">
            <v>Camden</v>
          </cell>
          <cell r="C28" t="str">
            <v>NJ</v>
          </cell>
          <cell r="D28" t="str">
            <v>08109</v>
          </cell>
          <cell r="E28" t="str">
            <v>US Petroleum</v>
          </cell>
          <cell r="F28" t="str">
            <v>Bronson Oil Lease Holdings, LLC</v>
          </cell>
          <cell r="H28" t="str">
            <v>Convenience Stores</v>
          </cell>
          <cell r="AB28" t="str">
            <v>PC Shell</v>
          </cell>
          <cell r="AC28" t="str">
            <v>SH2361</v>
          </cell>
        </row>
        <row r="29">
          <cell r="A29" t="str">
            <v>2401 New Road</v>
          </cell>
          <cell r="B29" t="str">
            <v>Northfield</v>
          </cell>
          <cell r="C29" t="str">
            <v>NJ</v>
          </cell>
          <cell r="D29" t="str">
            <v>08225</v>
          </cell>
          <cell r="E29" t="str">
            <v>Conoco</v>
          </cell>
          <cell r="F29" t="str">
            <v>Bronson Oil Lease Holdings, LLC</v>
          </cell>
          <cell r="H29" t="str">
            <v>Convenience Stores</v>
          </cell>
          <cell r="AB29" t="str">
            <v>PC Shell</v>
          </cell>
          <cell r="AC29" t="str">
            <v>SH2401</v>
          </cell>
        </row>
        <row r="30">
          <cell r="A30" t="str">
            <v>1100 County Rte 561</v>
          </cell>
          <cell r="B30" t="str">
            <v>Voorhees</v>
          </cell>
          <cell r="C30" t="str">
            <v>NJ</v>
          </cell>
          <cell r="D30" t="str">
            <v>08043</v>
          </cell>
          <cell r="E30" t="str">
            <v>Gulf</v>
          </cell>
          <cell r="F30" t="str">
            <v>Bronson Oil Lease Holdings, LLC</v>
          </cell>
          <cell r="H30" t="str">
            <v>Convenience Stores</v>
          </cell>
          <cell r="AB30" t="str">
            <v>PC Shell</v>
          </cell>
          <cell r="AC30" t="str">
            <v>SH1100</v>
          </cell>
        </row>
        <row r="31">
          <cell r="A31" t="str">
            <v>1058 Delsea Drive (Route 47)</v>
          </cell>
          <cell r="B31" t="str">
            <v>Westville</v>
          </cell>
          <cell r="C31" t="str">
            <v>NJ</v>
          </cell>
          <cell r="D31" t="str">
            <v>08903</v>
          </cell>
          <cell r="E31" t="str">
            <v>Gulf</v>
          </cell>
          <cell r="F31" t="str">
            <v>Bronson Oil Lease Holdings, LLC</v>
          </cell>
          <cell r="H31" t="str">
            <v>Convenience Stores</v>
          </cell>
          <cell r="AB31" t="str">
            <v>PC Shell</v>
          </cell>
          <cell r="AC31" t="str">
            <v>SH1058</v>
          </cell>
        </row>
        <row r="32">
          <cell r="A32" t="str">
            <v>1210 Blanding Blvd.</v>
          </cell>
          <cell r="B32" t="str">
            <v>Orange Park</v>
          </cell>
          <cell r="C32" t="str">
            <v>FL</v>
          </cell>
          <cell r="D32">
            <v>32073</v>
          </cell>
          <cell r="E32" t="str">
            <v>Dominos</v>
          </cell>
          <cell r="F32" t="str">
            <v>Perfect Pizza Pie, LLC</v>
          </cell>
          <cell r="H32" t="str">
            <v>Restaurants</v>
          </cell>
          <cell r="AB32" t="str">
            <v>PC Slices</v>
          </cell>
          <cell r="AC32" t="str">
            <v>PS1210</v>
          </cell>
        </row>
        <row r="33">
          <cell r="A33" t="str">
            <v>3570 S US 1</v>
          </cell>
          <cell r="B33" t="str">
            <v>Saint Augustine</v>
          </cell>
          <cell r="C33" t="str">
            <v>FL</v>
          </cell>
          <cell r="D33">
            <v>32084</v>
          </cell>
          <cell r="E33" t="str">
            <v>Dominos</v>
          </cell>
          <cell r="F33" t="str">
            <v>Perfect Pizza Pie, LLC</v>
          </cell>
          <cell r="H33" t="str">
            <v>Restaurants</v>
          </cell>
          <cell r="AB33" t="str">
            <v>PC Slices</v>
          </cell>
          <cell r="AC33" t="str">
            <v>PS3570</v>
          </cell>
        </row>
        <row r="34">
          <cell r="A34" t="str">
            <v>4158 CR 218</v>
          </cell>
          <cell r="B34" t="str">
            <v>Middleburg</v>
          </cell>
          <cell r="C34" t="str">
            <v>FL</v>
          </cell>
          <cell r="D34">
            <v>32068</v>
          </cell>
          <cell r="E34" t="str">
            <v>Dominos</v>
          </cell>
          <cell r="F34" t="str">
            <v>Perfect Pizza Pie, LLC</v>
          </cell>
          <cell r="H34" t="str">
            <v>Restaurants</v>
          </cell>
          <cell r="AB34" t="str">
            <v>PC Slices</v>
          </cell>
          <cell r="AC34" t="str">
            <v>PS4158</v>
          </cell>
        </row>
        <row r="35">
          <cell r="A35" t="str">
            <v>1602 Reid Street</v>
          </cell>
          <cell r="B35" t="str">
            <v>Palatka</v>
          </cell>
          <cell r="C35" t="str">
            <v>FL</v>
          </cell>
          <cell r="D35">
            <v>32177</v>
          </cell>
          <cell r="E35" t="str">
            <v>Dominos</v>
          </cell>
          <cell r="F35" t="str">
            <v>MVM Pizza, LLC</v>
          </cell>
          <cell r="H35" t="str">
            <v>Restaurants</v>
          </cell>
          <cell r="AB35" t="str">
            <v>PC Slices</v>
          </cell>
          <cell r="AC35" t="str">
            <v>PS1602</v>
          </cell>
        </row>
        <row r="36">
          <cell r="A36" t="str">
            <v>776 NE Alsbury</v>
          </cell>
          <cell r="B36" t="str">
            <v>Burleson</v>
          </cell>
          <cell r="C36" t="str">
            <v>TX</v>
          </cell>
          <cell r="D36">
            <v>76028</v>
          </cell>
          <cell r="E36" t="str">
            <v>Chevron</v>
          </cell>
          <cell r="F36" t="str">
            <v>Pinnacle Oil &amp; Gas Holdings, Inc.</v>
          </cell>
          <cell r="H36" t="str">
            <v>Convenience Stores</v>
          </cell>
          <cell r="AB36" t="str">
            <v>POG Portfolio</v>
          </cell>
          <cell r="AC36" t="str">
            <v>POG776</v>
          </cell>
        </row>
        <row r="37">
          <cell r="A37" t="str">
            <v>725 W Round Grove Rd</v>
          </cell>
          <cell r="B37" t="str">
            <v>Lewisville</v>
          </cell>
          <cell r="C37" t="str">
            <v>TX</v>
          </cell>
          <cell r="D37">
            <v>75067</v>
          </cell>
          <cell r="E37" t="str">
            <v>Phillips 66</v>
          </cell>
          <cell r="F37" t="str">
            <v>Pinnacle Oil &amp; Gas Holdings, Inc.</v>
          </cell>
          <cell r="H37" t="str">
            <v>Convenience Stores</v>
          </cell>
          <cell r="AB37" t="str">
            <v>POG Portfolio</v>
          </cell>
          <cell r="AC37" t="str">
            <v>POG725</v>
          </cell>
        </row>
        <row r="38">
          <cell r="A38" t="str">
            <v>2819 I-30</v>
          </cell>
          <cell r="B38" t="str">
            <v>Caddo Mills</v>
          </cell>
          <cell r="C38" t="str">
            <v>TX</v>
          </cell>
          <cell r="D38">
            <v>75135</v>
          </cell>
          <cell r="E38" t="str">
            <v>Texaco</v>
          </cell>
          <cell r="F38" t="str">
            <v>Pinnacle Oil &amp; Gas Holdings, Inc.</v>
          </cell>
          <cell r="H38" t="str">
            <v>Convenience Stores</v>
          </cell>
          <cell r="AB38" t="str">
            <v>POG Portfolio</v>
          </cell>
          <cell r="AC38" t="str">
            <v>POG2819</v>
          </cell>
        </row>
        <row r="39">
          <cell r="A39" t="str">
            <v>811 Strickland Drive</v>
          </cell>
          <cell r="B39" t="str">
            <v>Orange</v>
          </cell>
          <cell r="C39" t="str">
            <v>TX</v>
          </cell>
          <cell r="D39">
            <v>77630</v>
          </cell>
          <cell r="E39" t="str">
            <v>Unbranded</v>
          </cell>
          <cell r="F39" t="str">
            <v>Pinnacle Oil &amp; Gas Holdings, Inc.</v>
          </cell>
          <cell r="H39" t="str">
            <v>Convenience Stores</v>
          </cell>
          <cell r="AB39" t="str">
            <v>POG Portfolio</v>
          </cell>
          <cell r="AC39" t="str">
            <v>POG811</v>
          </cell>
        </row>
        <row r="40">
          <cell r="A40" t="str">
            <v>3204 Alta Mere</v>
          </cell>
          <cell r="B40" t="str">
            <v xml:space="preserve">Fort Worth </v>
          </cell>
          <cell r="C40" t="str">
            <v>TX</v>
          </cell>
          <cell r="D40">
            <v>76116</v>
          </cell>
          <cell r="E40" t="str">
            <v>RaceTrac</v>
          </cell>
          <cell r="F40" t="str">
            <v>Pinnacle Oil &amp; Gas Holdings, Inc.</v>
          </cell>
          <cell r="H40" t="str">
            <v>Convenience Stores</v>
          </cell>
          <cell r="AB40" t="str">
            <v>POG Portfolio</v>
          </cell>
          <cell r="AC40" t="str">
            <v>POG3204</v>
          </cell>
        </row>
        <row r="41">
          <cell r="A41" t="str">
            <v>105 E 7th St</v>
          </cell>
          <cell r="B41" t="str">
            <v>Winfield</v>
          </cell>
          <cell r="C41" t="str">
            <v>TX</v>
          </cell>
          <cell r="D41">
            <v>75493</v>
          </cell>
          <cell r="E41" t="str">
            <v>Exxon</v>
          </cell>
          <cell r="F41" t="str">
            <v>Pinnacle Oil &amp; Gas Holdings, Inc.</v>
          </cell>
          <cell r="H41" t="str">
            <v>Convenience Stores</v>
          </cell>
          <cell r="AB41" t="str">
            <v>POG Portfolio</v>
          </cell>
          <cell r="AC41" t="str">
            <v>POG105</v>
          </cell>
        </row>
        <row r="42">
          <cell r="A42" t="str">
            <v>1406 West Gulf Bank Rd</v>
          </cell>
          <cell r="B42" t="str">
            <v>Houston</v>
          </cell>
          <cell r="C42" t="str">
            <v>TX</v>
          </cell>
          <cell r="D42">
            <v>77088</v>
          </cell>
          <cell r="E42" t="str">
            <v>Chevron</v>
          </cell>
          <cell r="F42" t="str">
            <v>Pinnacle Oil &amp; Gas Holdings, Inc.</v>
          </cell>
          <cell r="H42" t="str">
            <v>Convenience Stores</v>
          </cell>
          <cell r="AB42" t="str">
            <v>POG Portfolio</v>
          </cell>
          <cell r="AC42" t="str">
            <v>POG1406</v>
          </cell>
        </row>
        <row r="43">
          <cell r="A43" t="str">
            <v>2221 Ella Blvd</v>
          </cell>
          <cell r="B43" t="str">
            <v>Houston</v>
          </cell>
          <cell r="C43" t="str">
            <v>TX</v>
          </cell>
          <cell r="D43">
            <v>77008</v>
          </cell>
          <cell r="E43" t="str">
            <v>Sunoco</v>
          </cell>
          <cell r="F43" t="str">
            <v>Pinnacle Oil &amp; Gas Holdings, Inc.</v>
          </cell>
          <cell r="H43" t="str">
            <v>Convenience Stores</v>
          </cell>
          <cell r="AB43" t="str">
            <v>POG Portfolio</v>
          </cell>
          <cell r="AC43" t="str">
            <v>POG2221</v>
          </cell>
        </row>
        <row r="44">
          <cell r="A44" t="str">
            <v>2520 Hwy 146</v>
          </cell>
          <cell r="B44" t="str">
            <v xml:space="preserve">Texas City </v>
          </cell>
          <cell r="C44" t="str">
            <v>TX</v>
          </cell>
          <cell r="D44">
            <v>77590</v>
          </cell>
          <cell r="E44" t="str">
            <v>Citgo</v>
          </cell>
          <cell r="F44" t="str">
            <v>Pinnacle Oil &amp; Gas Holdings, Inc.</v>
          </cell>
          <cell r="H44" t="str">
            <v>Convenience Stores</v>
          </cell>
          <cell r="AB44" t="str">
            <v>POG Portfolio</v>
          </cell>
          <cell r="AC44" t="str">
            <v>POG2520</v>
          </cell>
        </row>
        <row r="45">
          <cell r="A45" t="str">
            <v>16206 Spring Cypress Road</v>
          </cell>
          <cell r="B45" t="str">
            <v>Cypress</v>
          </cell>
          <cell r="C45" t="str">
            <v>TX</v>
          </cell>
          <cell r="D45">
            <v>77429</v>
          </cell>
          <cell r="E45" t="str">
            <v>Chevron</v>
          </cell>
          <cell r="F45" t="str">
            <v>Pinnacle Oil &amp; Gas Holdings, Inc.</v>
          </cell>
          <cell r="H45" t="str">
            <v>Convenience Stores</v>
          </cell>
          <cell r="AB45" t="str">
            <v>POG Portfolio II</v>
          </cell>
          <cell r="AC45" t="str">
            <v>POG16206</v>
          </cell>
        </row>
        <row r="46">
          <cell r="A46" t="str">
            <v>18092 FM1314</v>
          </cell>
          <cell r="B46" t="str">
            <v>Conroe</v>
          </cell>
          <cell r="C46" t="str">
            <v>TX</v>
          </cell>
          <cell r="D46">
            <v>77302</v>
          </cell>
          <cell r="E46" t="str">
            <v>Valero</v>
          </cell>
          <cell r="F46" t="str">
            <v>Pinnacle Oil &amp; Gas Holdings, Inc.</v>
          </cell>
          <cell r="H46" t="str">
            <v>Convenience Stores</v>
          </cell>
          <cell r="AB46" t="str">
            <v>POG Portfolio II</v>
          </cell>
          <cell r="AC46" t="str">
            <v>POG18092</v>
          </cell>
        </row>
        <row r="47">
          <cell r="A47" t="str">
            <v>2483 North Church Street</v>
          </cell>
          <cell r="B47" t="str">
            <v>Rocky Mount</v>
          </cell>
          <cell r="C47" t="str">
            <v>NC</v>
          </cell>
          <cell r="D47">
            <v>27804</v>
          </cell>
          <cell r="E47" t="str">
            <v>GPM</v>
          </cell>
          <cell r="F47" t="str">
            <v>GPM Empire, LLC</v>
          </cell>
          <cell r="H47" t="str">
            <v>Convenience Stores</v>
          </cell>
          <cell r="AB47" t="str">
            <v>QP Portfolio</v>
          </cell>
          <cell r="AC47" t="str">
            <v>QP2483</v>
          </cell>
        </row>
        <row r="48">
          <cell r="A48" t="str">
            <v>2521 Empire Drive</v>
          </cell>
          <cell r="B48" t="str">
            <v>Winston-Salem</v>
          </cell>
          <cell r="C48" t="str">
            <v>NC</v>
          </cell>
          <cell r="D48">
            <v>27103</v>
          </cell>
          <cell r="E48" t="str">
            <v>GPM</v>
          </cell>
          <cell r="F48" t="str">
            <v>GPM Empire, LLC</v>
          </cell>
          <cell r="H48" t="str">
            <v>Convenience Stores</v>
          </cell>
          <cell r="AB48" t="str">
            <v>QP Portfolio</v>
          </cell>
          <cell r="AC48" t="str">
            <v>QP2521</v>
          </cell>
        </row>
        <row r="49">
          <cell r="A49" t="str">
            <v>7301 Cessna Drive</v>
          </cell>
          <cell r="B49" t="str">
            <v>Greensboro</v>
          </cell>
          <cell r="C49" t="str">
            <v>NC</v>
          </cell>
          <cell r="D49">
            <v>27409</v>
          </cell>
          <cell r="E49" t="str">
            <v>GPM</v>
          </cell>
          <cell r="F49" t="str">
            <v>GPM Empire, LLC</v>
          </cell>
          <cell r="H49" t="str">
            <v>Convenience Stores</v>
          </cell>
          <cell r="AB49" t="str">
            <v>QP Portfolio</v>
          </cell>
          <cell r="AC49" t="str">
            <v>QP7301</v>
          </cell>
        </row>
        <row r="50">
          <cell r="A50" t="str">
            <v>3916 Commerce Park Drive</v>
          </cell>
          <cell r="B50" t="str">
            <v>Raleigh</v>
          </cell>
          <cell r="C50" t="str">
            <v>NC</v>
          </cell>
          <cell r="D50">
            <v>27610</v>
          </cell>
          <cell r="E50" t="str">
            <v>GPM</v>
          </cell>
          <cell r="F50" t="str">
            <v>GPM Empire, LLC</v>
          </cell>
          <cell r="H50" t="str">
            <v>Convenience Stores</v>
          </cell>
          <cell r="AB50" t="str">
            <v>QP Portfolio</v>
          </cell>
          <cell r="AC50" t="str">
            <v>QP3916</v>
          </cell>
        </row>
        <row r="51">
          <cell r="A51" t="str">
            <v>765 Indeneer Drive</v>
          </cell>
          <cell r="B51" t="str">
            <v>Kernersville</v>
          </cell>
          <cell r="C51" t="str">
            <v>NC</v>
          </cell>
          <cell r="D51">
            <v>27284</v>
          </cell>
          <cell r="E51" t="str">
            <v>GPM</v>
          </cell>
          <cell r="F51" t="str">
            <v>GPM Empire, LLC</v>
          </cell>
          <cell r="H51" t="str">
            <v>Convenience Stores</v>
          </cell>
          <cell r="AB51" t="str">
            <v>QP Portfolio</v>
          </cell>
          <cell r="AC51" t="str">
            <v>QP765</v>
          </cell>
        </row>
        <row r="52">
          <cell r="A52" t="str">
            <v>2881 Bridgewood Drive</v>
          </cell>
          <cell r="B52" t="str">
            <v>Fayetteville</v>
          </cell>
          <cell r="C52" t="str">
            <v>NC</v>
          </cell>
          <cell r="D52">
            <v>28301</v>
          </cell>
          <cell r="E52" t="str">
            <v>GPM</v>
          </cell>
          <cell r="F52" t="str">
            <v>GPM Empire, LLC</v>
          </cell>
          <cell r="H52" t="str">
            <v>Convenience Stores</v>
          </cell>
          <cell r="AB52" t="str">
            <v>QP Portfolio</v>
          </cell>
          <cell r="AC52" t="str">
            <v>QP2881</v>
          </cell>
        </row>
        <row r="53">
          <cell r="A53" t="str">
            <v>1210 East Trinity Avenue</v>
          </cell>
          <cell r="B53" t="str">
            <v>High Point</v>
          </cell>
          <cell r="C53" t="str">
            <v>NC</v>
          </cell>
          <cell r="D53">
            <v>27260</v>
          </cell>
          <cell r="E53" t="str">
            <v>GPM</v>
          </cell>
          <cell r="F53" t="str">
            <v>GPM Empire, LLC</v>
          </cell>
          <cell r="H53" t="str">
            <v>Convenience Stores</v>
          </cell>
          <cell r="AB53" t="str">
            <v>QP Portfolio</v>
          </cell>
          <cell r="AC53" t="str">
            <v>QP1210</v>
          </cell>
        </row>
        <row r="54">
          <cell r="A54" t="str">
            <v>160 Jeffrey Way</v>
          </cell>
          <cell r="B54" t="str">
            <v>Franklin</v>
          </cell>
          <cell r="C54" t="str">
            <v>NC</v>
          </cell>
          <cell r="D54">
            <v>27596</v>
          </cell>
          <cell r="E54" t="str">
            <v>GPM</v>
          </cell>
          <cell r="F54" t="str">
            <v>GPM Empire, LLC</v>
          </cell>
          <cell r="H54" t="str">
            <v>Convenience Stores</v>
          </cell>
          <cell r="AB54" t="str">
            <v>QP Portfolio</v>
          </cell>
          <cell r="AC54" t="str">
            <v>QP160</v>
          </cell>
        </row>
        <row r="55">
          <cell r="A55" t="str">
            <v>10420 Research Rd. SE</v>
          </cell>
          <cell r="B55" t="str">
            <v>Albuquerque</v>
          </cell>
          <cell r="C55" t="str">
            <v>NM</v>
          </cell>
          <cell r="D55">
            <v>87123</v>
          </cell>
          <cell r="E55" t="str">
            <v>SolAero</v>
          </cell>
          <cell r="F55" t="str">
            <v>Solaero Technologies Corp.</v>
          </cell>
          <cell r="H55" t="str">
            <v>Solar</v>
          </cell>
          <cell r="AB55" t="str">
            <v>ST Albuquerque</v>
          </cell>
          <cell r="AC55" t="str">
            <v>ST10420</v>
          </cell>
        </row>
        <row r="56">
          <cell r="A56" t="str">
            <v>8301 W. McNab Road</v>
          </cell>
          <cell r="B56" t="str">
            <v>Tamarac</v>
          </cell>
          <cell r="C56" t="str">
            <v>FL</v>
          </cell>
          <cell r="D56">
            <v>33321</v>
          </cell>
          <cell r="E56" t="str">
            <v>Regard Recovery</v>
          </cell>
          <cell r="F56" t="str">
            <v>Regard Recovery Residential Treatment of Florida LLC</v>
          </cell>
          <cell r="H56" t="str">
            <v>Health Care</v>
          </cell>
          <cell r="AB56" t="str">
            <v>SW Portfolio</v>
          </cell>
          <cell r="AC56" t="str">
            <v>SW8301</v>
          </cell>
        </row>
        <row r="57">
          <cell r="A57" t="str">
            <v>10050 Stirling Rd.</v>
          </cell>
          <cell r="B57" t="str">
            <v>Cooper City</v>
          </cell>
          <cell r="C57" t="str">
            <v>FL</v>
          </cell>
          <cell r="D57">
            <v>33024</v>
          </cell>
          <cell r="E57" t="str">
            <v>Trinity Petroleum</v>
          </cell>
          <cell r="F57" t="str">
            <v>Trinity Petro I LLC</v>
          </cell>
          <cell r="H57" t="str">
            <v>Convenience Stores</v>
          </cell>
          <cell r="AB57" t="str">
            <v>TP Portfolio</v>
          </cell>
          <cell r="AC57" t="str">
            <v>TP10050</v>
          </cell>
        </row>
        <row r="58">
          <cell r="A58" t="str">
            <v>21100 S. Dixie Hwy</v>
          </cell>
          <cell r="B58" t="str">
            <v>Miami</v>
          </cell>
          <cell r="C58" t="str">
            <v>FL</v>
          </cell>
          <cell r="D58">
            <v>33177</v>
          </cell>
          <cell r="E58" t="str">
            <v>Trinity Petroleum</v>
          </cell>
          <cell r="F58" t="str">
            <v>Trinity Petro I LLC</v>
          </cell>
          <cell r="H58" t="str">
            <v>Convenience Stores</v>
          </cell>
          <cell r="AB58" t="str">
            <v>TP Portfolio</v>
          </cell>
          <cell r="AC58" t="str">
            <v>TP21100</v>
          </cell>
        </row>
        <row r="59">
          <cell r="A59" t="str">
            <v>9980 SW 8th St</v>
          </cell>
          <cell r="B59" t="str">
            <v>Miami</v>
          </cell>
          <cell r="C59" t="str">
            <v>FL</v>
          </cell>
          <cell r="D59">
            <v>33174</v>
          </cell>
          <cell r="E59" t="str">
            <v>Trinity Petroleum</v>
          </cell>
          <cell r="F59" t="str">
            <v>Trinity Petro I LLC</v>
          </cell>
          <cell r="H59" t="str">
            <v>Convenience Stores</v>
          </cell>
          <cell r="AB59" t="str">
            <v>TP Portfolio</v>
          </cell>
          <cell r="AC59" t="str">
            <v>TP9980</v>
          </cell>
        </row>
        <row r="60">
          <cell r="A60" t="str">
            <v>3695 NW 167 St</v>
          </cell>
          <cell r="B60" t="str">
            <v>Miami Gardens</v>
          </cell>
          <cell r="C60" t="str">
            <v>FL</v>
          </cell>
          <cell r="D60">
            <v>33056</v>
          </cell>
          <cell r="E60" t="str">
            <v>Trinity Petroleum</v>
          </cell>
          <cell r="F60" t="str">
            <v>Trinity Petro I LLC</v>
          </cell>
          <cell r="H60" t="str">
            <v>Convenience Stores</v>
          </cell>
          <cell r="AB60" t="str">
            <v>TP Portfolio</v>
          </cell>
          <cell r="AC60" t="str">
            <v>TP3695</v>
          </cell>
        </row>
        <row r="61">
          <cell r="A61" t="str">
            <v>3701 NW 167 Street</v>
          </cell>
          <cell r="B61" t="str">
            <v>Miami Gardens</v>
          </cell>
          <cell r="C61" t="str">
            <v>FL</v>
          </cell>
          <cell r="D61">
            <v>33055</v>
          </cell>
          <cell r="E61" t="str">
            <v>Trinity Petroleum</v>
          </cell>
          <cell r="F61" t="str">
            <v>Trinity Petro I LLC</v>
          </cell>
          <cell r="H61" t="str">
            <v>Convenience Stores</v>
          </cell>
          <cell r="AB61" t="str">
            <v>TP Portfolio</v>
          </cell>
          <cell r="AC61" t="str">
            <v>TP3701</v>
          </cell>
        </row>
        <row r="62">
          <cell r="A62" t="str">
            <v>3030 North Military Trail</v>
          </cell>
          <cell r="B62" t="str">
            <v>West Palm Beach</v>
          </cell>
          <cell r="C62" t="str">
            <v>FL</v>
          </cell>
          <cell r="D62">
            <v>33409</v>
          </cell>
          <cell r="E62" t="str">
            <v>Trinity Petroleum</v>
          </cell>
          <cell r="F62" t="str">
            <v>Trinity Petro I LLC</v>
          </cell>
          <cell r="H62" t="str">
            <v>Convenience Stores</v>
          </cell>
          <cell r="AB62" t="str">
            <v>TP Portfolio</v>
          </cell>
          <cell r="AC62" t="str">
            <v>TP3030</v>
          </cell>
        </row>
        <row r="63">
          <cell r="A63" t="str">
            <v>3970 Missouri Flat Rd</v>
          </cell>
          <cell r="B63" t="str">
            <v>Placerville</v>
          </cell>
          <cell r="C63" t="str">
            <v>CA</v>
          </cell>
          <cell r="D63">
            <v>95667</v>
          </cell>
          <cell r="E63" t="str">
            <v>Umpqua Bank</v>
          </cell>
          <cell r="F63" t="str">
            <v>Western Sierra National Bank</v>
          </cell>
          <cell r="H63" t="str">
            <v>Financial Services</v>
          </cell>
          <cell r="AB63" t="str">
            <v>Vault Portfolio</v>
          </cell>
          <cell r="AC63" t="str">
            <v>VP3970</v>
          </cell>
        </row>
        <row r="64">
          <cell r="A64" t="str">
            <v>4601 Manatee Ave W</v>
          </cell>
          <cell r="B64" t="str">
            <v>Bradenton</v>
          </cell>
          <cell r="C64" t="str">
            <v>FL</v>
          </cell>
          <cell r="D64">
            <v>34209</v>
          </cell>
          <cell r="E64" t="str">
            <v>Fidelity Bank</v>
          </cell>
          <cell r="F64" t="str">
            <v>Coast Bank of Florida</v>
          </cell>
          <cell r="H64" t="str">
            <v>Financial Services</v>
          </cell>
          <cell r="AB64" t="str">
            <v>Vault Portfolio</v>
          </cell>
          <cell r="AC64" t="str">
            <v>VP4601</v>
          </cell>
        </row>
        <row r="65">
          <cell r="A65" t="str">
            <v>110 W Bloomingdale Ave</v>
          </cell>
          <cell r="B65" t="str">
            <v>Brandon</v>
          </cell>
          <cell r="C65" t="str">
            <v>FL</v>
          </cell>
          <cell r="D65">
            <v>33511</v>
          </cell>
          <cell r="E65" t="str">
            <v>First Bank</v>
          </cell>
          <cell r="F65" t="str">
            <v>Coast Bank of Florida</v>
          </cell>
          <cell r="H65" t="str">
            <v>Financial Services</v>
          </cell>
          <cell r="AB65" t="str">
            <v>Vault Portfolio</v>
          </cell>
          <cell r="AC65" t="str">
            <v>VP110</v>
          </cell>
        </row>
        <row r="66">
          <cell r="A66" t="str">
            <v>2691 Placida Rd</v>
          </cell>
          <cell r="B66" t="str">
            <v>Grove City</v>
          </cell>
          <cell r="C66" t="str">
            <v>FL</v>
          </cell>
          <cell r="D66">
            <v>34224</v>
          </cell>
          <cell r="E66" t="str">
            <v>Truist</v>
          </cell>
          <cell r="F66" t="str">
            <v>Truist  Bank</v>
          </cell>
          <cell r="H66" t="str">
            <v>Financial Services</v>
          </cell>
          <cell r="AB66" t="str">
            <v>Vault Portfolio</v>
          </cell>
          <cell r="AC66" t="str">
            <v>VP2691</v>
          </cell>
        </row>
        <row r="67">
          <cell r="A67" t="str">
            <v>2123 US Hwy 19</v>
          </cell>
          <cell r="B67" t="str">
            <v>Holiday</v>
          </cell>
          <cell r="C67" t="str">
            <v>FL</v>
          </cell>
          <cell r="D67">
            <v>34691</v>
          </cell>
          <cell r="E67" t="str">
            <v>Truist</v>
          </cell>
          <cell r="F67" t="str">
            <v>Truist  Bank</v>
          </cell>
          <cell r="H67" t="str">
            <v>Financial Services</v>
          </cell>
          <cell r="AB67" t="str">
            <v>Vault Portfolio</v>
          </cell>
          <cell r="AC67" t="str">
            <v>VP2123</v>
          </cell>
        </row>
        <row r="68">
          <cell r="A68" t="str">
            <v>1145 US Highway 70 W</v>
          </cell>
          <cell r="B68" t="str">
            <v>Garner</v>
          </cell>
          <cell r="C68" t="str">
            <v>NC</v>
          </cell>
          <cell r="D68">
            <v>27529</v>
          </cell>
          <cell r="E68" t="str">
            <v>Fifth Third Bank</v>
          </cell>
          <cell r="F68" t="str">
            <v>Fifth Third Bank</v>
          </cell>
          <cell r="H68" t="str">
            <v>Financial Services</v>
          </cell>
          <cell r="AB68" t="str">
            <v>Vault Portfolio</v>
          </cell>
          <cell r="AC68" t="str">
            <v>VP1145</v>
          </cell>
        </row>
        <row r="69">
          <cell r="A69" t="str">
            <v>1300 Palm Coast Pkwy SW</v>
          </cell>
          <cell r="B69" t="str">
            <v>Palm Coast</v>
          </cell>
          <cell r="C69" t="str">
            <v>FL</v>
          </cell>
          <cell r="D69">
            <v>32137</v>
          </cell>
          <cell r="E69" t="str">
            <v>TD Bank</v>
          </cell>
          <cell r="F69" t="str">
            <v>TD Bank, N.A.</v>
          </cell>
          <cell r="H69" t="str">
            <v>Financial Services</v>
          </cell>
          <cell r="AB69" t="str">
            <v>Vault Portfolio</v>
          </cell>
          <cell r="AC69" t="str">
            <v>VP1300</v>
          </cell>
        </row>
        <row r="70">
          <cell r="A70" t="str">
            <v>12396 W. Sunrise Blvd.</v>
          </cell>
          <cell r="B70" t="str">
            <v>Plantation</v>
          </cell>
          <cell r="C70" t="str">
            <v>FL</v>
          </cell>
          <cell r="D70">
            <v>33323</v>
          </cell>
          <cell r="E70" t="str">
            <v>Truist</v>
          </cell>
          <cell r="F70" t="str">
            <v>Truist  Bank</v>
          </cell>
          <cell r="H70" t="str">
            <v>Financial Services</v>
          </cell>
          <cell r="AB70" t="str">
            <v>Vault Portfolio</v>
          </cell>
          <cell r="AC70" t="str">
            <v>VP12396</v>
          </cell>
        </row>
        <row r="71">
          <cell r="A71" t="str">
            <v>17 Kings Hwy W</v>
          </cell>
          <cell r="B71" t="str">
            <v>Haddonfield</v>
          </cell>
          <cell r="C71" t="str">
            <v>NJ</v>
          </cell>
          <cell r="D71" t="str">
            <v>08033</v>
          </cell>
          <cell r="E71" t="str">
            <v>Fulton Bank</v>
          </cell>
          <cell r="F71" t="str">
            <v>Fulton Bank</v>
          </cell>
          <cell r="H71" t="str">
            <v>Financial Services</v>
          </cell>
          <cell r="AB71" t="str">
            <v>Vault Portfolio</v>
          </cell>
          <cell r="AC71" t="str">
            <v>VP17</v>
          </cell>
        </row>
        <row r="72">
          <cell r="A72" t="str">
            <v>2419 Cheshire Bridge Rd NE</v>
          </cell>
          <cell r="B72" t="str">
            <v>Atlanta</v>
          </cell>
          <cell r="C72" t="str">
            <v>GA</v>
          </cell>
          <cell r="D72">
            <v>30324</v>
          </cell>
          <cell r="E72" t="str">
            <v>Regions Bank</v>
          </cell>
          <cell r="F72" t="str">
            <v>Regions Bank</v>
          </cell>
          <cell r="H72" t="str">
            <v>Financial Services</v>
          </cell>
          <cell r="AB72" t="str">
            <v>Vault Portfolio</v>
          </cell>
          <cell r="AC72" t="str">
            <v>VP2419</v>
          </cell>
        </row>
        <row r="73">
          <cell r="A73" t="str">
            <v>9005 State Rd 52</v>
          </cell>
          <cell r="B73" t="str">
            <v>Hudson</v>
          </cell>
          <cell r="C73" t="str">
            <v>FL</v>
          </cell>
          <cell r="D73">
            <v>34669</v>
          </cell>
          <cell r="E73" t="str">
            <v>Truist</v>
          </cell>
          <cell r="F73" t="str">
            <v>Truist  Bank</v>
          </cell>
          <cell r="H73" t="str">
            <v>Financial Services</v>
          </cell>
          <cell r="AB73" t="str">
            <v>Vault Portfolio</v>
          </cell>
          <cell r="AC73" t="str">
            <v>VP9005</v>
          </cell>
        </row>
        <row r="74">
          <cell r="A74" t="str">
            <v>805 11th St</v>
          </cell>
          <cell r="B74" t="str">
            <v>Lakeport</v>
          </cell>
          <cell r="C74" t="str">
            <v>CA</v>
          </cell>
          <cell r="D74">
            <v>95453</v>
          </cell>
          <cell r="E74" t="str">
            <v>Umpqua Bank</v>
          </cell>
          <cell r="F74" t="str">
            <v>Umpqua  Bank</v>
          </cell>
          <cell r="H74" t="str">
            <v>Financial Services</v>
          </cell>
          <cell r="AB74" t="str">
            <v>Vault Portfolio</v>
          </cell>
          <cell r="AC74" t="str">
            <v>VP805</v>
          </cell>
        </row>
        <row r="75">
          <cell r="A75" t="str">
            <v>13175 Walsingham Rd</v>
          </cell>
          <cell r="B75" t="str">
            <v>Largo</v>
          </cell>
          <cell r="C75" t="str">
            <v>FL</v>
          </cell>
          <cell r="D75">
            <v>33774</v>
          </cell>
          <cell r="E75" t="str">
            <v>Starbucks</v>
          </cell>
          <cell r="F75" t="str">
            <v>Starbucks Corporation</v>
          </cell>
          <cell r="H75" t="str">
            <v>Restaurants</v>
          </cell>
          <cell r="AB75" t="str">
            <v>Vault Portfolio</v>
          </cell>
          <cell r="AC75" t="str">
            <v>VP13175</v>
          </cell>
        </row>
        <row r="76">
          <cell r="A76" t="str">
            <v>615 E Elkcam Cir</v>
          </cell>
          <cell r="B76" t="str">
            <v>Marco Island</v>
          </cell>
          <cell r="C76" t="str">
            <v>FL</v>
          </cell>
          <cell r="D76">
            <v>34145</v>
          </cell>
          <cell r="E76" t="str">
            <v>Trulieve</v>
          </cell>
          <cell r="F76" t="str">
            <v>Trulieve, Inc.</v>
          </cell>
          <cell r="H76" t="str">
            <v>Cannabis</v>
          </cell>
          <cell r="AB76" t="str">
            <v>Vault Portfolio</v>
          </cell>
          <cell r="AC76" t="str">
            <v>VP615</v>
          </cell>
        </row>
        <row r="77">
          <cell r="A77" t="str">
            <v>3805 Macon Rd</v>
          </cell>
          <cell r="B77" t="str">
            <v>Columbus</v>
          </cell>
          <cell r="C77" t="str">
            <v>GA</v>
          </cell>
          <cell r="D77">
            <v>31907</v>
          </cell>
          <cell r="E77" t="str">
            <v>Regions Bank</v>
          </cell>
          <cell r="F77" t="str">
            <v>Regions Bank</v>
          </cell>
          <cell r="H77" t="str">
            <v>Financial Services</v>
          </cell>
          <cell r="AB77" t="str">
            <v>Vault Portfolio</v>
          </cell>
          <cell r="AC77" t="str">
            <v>VP3805</v>
          </cell>
        </row>
        <row r="78">
          <cell r="A78" t="str">
            <v>4636 W Market St</v>
          </cell>
          <cell r="B78" t="str">
            <v>Greensboro</v>
          </cell>
          <cell r="C78" t="str">
            <v>NC</v>
          </cell>
          <cell r="D78">
            <v>27407</v>
          </cell>
          <cell r="E78" t="str">
            <v>Truist</v>
          </cell>
          <cell r="F78" t="str">
            <v>Truist Bank</v>
          </cell>
          <cell r="H78" t="str">
            <v>Financial Services</v>
          </cell>
          <cell r="AB78" t="str">
            <v>Vault Portfolio</v>
          </cell>
          <cell r="AC78" t="str">
            <v>VP4636</v>
          </cell>
        </row>
        <row r="79">
          <cell r="A79" t="str">
            <v>4023 W Hundred Rd</v>
          </cell>
          <cell r="B79" t="str">
            <v>Chester</v>
          </cell>
          <cell r="C79" t="str">
            <v>VA</v>
          </cell>
          <cell r="D79">
            <v>23831</v>
          </cell>
          <cell r="E79" t="str">
            <v>Bank of Virginia</v>
          </cell>
          <cell r="F79" t="str">
            <v>Bank of Virginia</v>
          </cell>
          <cell r="H79" t="str">
            <v>Financial Services</v>
          </cell>
          <cell r="AB79" t="str">
            <v>Vault Portfolio</v>
          </cell>
          <cell r="AC79" t="str">
            <v>VP4023</v>
          </cell>
        </row>
        <row r="80">
          <cell r="A80" t="str">
            <v>1801 Douglas Blvd</v>
          </cell>
          <cell r="B80" t="str">
            <v>Roseville</v>
          </cell>
          <cell r="C80" t="str">
            <v>CA</v>
          </cell>
          <cell r="D80">
            <v>95661</v>
          </cell>
          <cell r="E80" t="str">
            <v>Umpqua Bank</v>
          </cell>
          <cell r="F80" t="str">
            <v>Western Sierra National Bank</v>
          </cell>
          <cell r="H80" t="str">
            <v>Financial Services</v>
          </cell>
          <cell r="AB80" t="str">
            <v>Vault Portfolio</v>
          </cell>
          <cell r="AC80" t="str">
            <v>VP1801</v>
          </cell>
        </row>
        <row r="81">
          <cell r="A81" t="str">
            <v>229 S Washington St</v>
          </cell>
          <cell r="B81" t="str">
            <v>Sonora</v>
          </cell>
          <cell r="C81" t="str">
            <v>CA</v>
          </cell>
          <cell r="D81">
            <v>95370</v>
          </cell>
          <cell r="E81" t="str">
            <v>Umpqua Bank</v>
          </cell>
          <cell r="F81" t="str">
            <v>Central California Bank</v>
          </cell>
          <cell r="H81" t="str">
            <v>Financial Services</v>
          </cell>
          <cell r="AB81" t="str">
            <v>Vault Portfolio</v>
          </cell>
          <cell r="AC81" t="str">
            <v>VP229</v>
          </cell>
        </row>
        <row r="82">
          <cell r="A82" t="str">
            <v>3880 LaVista Rd</v>
          </cell>
          <cell r="B82" t="str">
            <v>Tucker</v>
          </cell>
          <cell r="C82" t="str">
            <v>GA</v>
          </cell>
          <cell r="D82">
            <v>30084</v>
          </cell>
          <cell r="E82" t="str">
            <v>Regions Bank</v>
          </cell>
          <cell r="F82" t="str">
            <v>Regions Bank</v>
          </cell>
          <cell r="H82" t="str">
            <v>Financial Services</v>
          </cell>
          <cell r="AB82" t="str">
            <v>Vault Portfolio</v>
          </cell>
          <cell r="AC82" t="str">
            <v>VP3880</v>
          </cell>
        </row>
        <row r="83">
          <cell r="A83" t="str">
            <v>4000 20th St</v>
          </cell>
          <cell r="B83" t="str">
            <v>Vero Beach</v>
          </cell>
          <cell r="C83" t="str">
            <v>FL</v>
          </cell>
          <cell r="D83">
            <v>32960</v>
          </cell>
          <cell r="E83" t="str">
            <v>Synovus</v>
          </cell>
          <cell r="F83" t="str">
            <v>Synovus Bank</v>
          </cell>
          <cell r="H83" t="str">
            <v>Financial Services</v>
          </cell>
          <cell r="AB83" t="str">
            <v>Vault Portfolio</v>
          </cell>
          <cell r="AC83" t="str">
            <v>VP4000</v>
          </cell>
        </row>
        <row r="84">
          <cell r="A84" t="str">
            <v>2993 Shore Dr</v>
          </cell>
          <cell r="B84" t="str">
            <v>Virginia Beach</v>
          </cell>
          <cell r="C84" t="str">
            <v>VA</v>
          </cell>
          <cell r="D84">
            <v>23451</v>
          </cell>
          <cell r="E84" t="str">
            <v>Truist</v>
          </cell>
          <cell r="F84" t="str">
            <v>Truist Bank</v>
          </cell>
          <cell r="H84" t="str">
            <v>Financial Services</v>
          </cell>
          <cell r="AB84" t="str">
            <v>Vault Portfolio</v>
          </cell>
          <cell r="AC84" t="str">
            <v>VP2993</v>
          </cell>
        </row>
        <row r="86">
          <cell r="A86" t="str">
            <v>Count</v>
          </cell>
        </row>
        <row r="87">
          <cell r="A87" t="str">
            <v>Total</v>
          </cell>
        </row>
        <row r="88">
          <cell r="A88" t="str">
            <v>Avg</v>
          </cell>
        </row>
        <row r="89">
          <cell r="A89" t="str">
            <v>Median</v>
          </cell>
        </row>
        <row r="90">
          <cell r="A90" t="str">
            <v>Wgt. Avg</v>
          </cell>
        </row>
        <row r="92">
          <cell r="H92" t="str">
            <v xml:space="preserve">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operty Summary"/>
      <sheetName val="Gabe - Tracker"/>
      <sheetName val="Corp Financials "/>
      <sheetName val="P&amp;Ls"/>
      <sheetName val="Property Tax"/>
      <sheetName val="Insurance"/>
      <sheetName val="Bill Tracker"/>
      <sheetName val="Contact List"/>
      <sheetName val="Pinnacle - Tracker"/>
      <sheetName val="Debt Schedule"/>
      <sheetName val="Rent Roll"/>
      <sheetName val="Tearsheet"/>
      <sheetName val="BOV Summary - Feb 2025"/>
      <sheetName val="BOV Summary - Feb 2026"/>
      <sheetName val="Vault Portfolio"/>
      <sheetName val="Notes"/>
      <sheetName val="Branch Deposits"/>
      <sheetName val="Portfolio Summary"/>
    </sheetNames>
    <sheetDataSet>
      <sheetData sheetId="0"/>
      <sheetData sheetId="1"/>
      <sheetData sheetId="2"/>
      <sheetData sheetId="3"/>
      <sheetData sheetId="4"/>
      <sheetData sheetId="5"/>
      <sheetData sheetId="6"/>
      <sheetData sheetId="7"/>
      <sheetData sheetId="8"/>
      <sheetData sheetId="9"/>
      <sheetData sheetId="10">
        <row r="145">
          <cell r="Y145">
            <v>62917.334765624975</v>
          </cell>
        </row>
        <row r="146">
          <cell r="Y146">
            <v>62917.334765624975</v>
          </cell>
        </row>
        <row r="147">
          <cell r="Y147">
            <v>62917.334765624975</v>
          </cell>
        </row>
        <row r="148">
          <cell r="Y148">
            <v>62917.334765624975</v>
          </cell>
        </row>
        <row r="149">
          <cell r="Y149">
            <v>62917.334765624975</v>
          </cell>
        </row>
        <row r="150">
          <cell r="Y150">
            <v>64490.268134765596</v>
          </cell>
        </row>
        <row r="151">
          <cell r="Y151">
            <v>64490.268134765596</v>
          </cell>
        </row>
        <row r="152">
          <cell r="Y152">
            <v>64490.268134765596</v>
          </cell>
        </row>
        <row r="153">
          <cell r="Y153">
            <v>64490.268134765596</v>
          </cell>
        </row>
      </sheetData>
      <sheetData sheetId="11"/>
      <sheetData sheetId="12"/>
      <sheetData sheetId="13"/>
      <sheetData sheetId="14"/>
      <sheetData sheetId="15"/>
      <sheetData sheetId="16"/>
      <sheetData sheetId="17"/>
    </sheetDataSet>
  </externalBook>
</externalLink>
</file>

<file path=xl/persons/person.xml><?xml version="1.0" encoding="utf-8"?>
<personList xmlns="http://schemas.microsoft.com/office/spreadsheetml/2018/threadedcomments" xmlns:x="http://schemas.openxmlformats.org/spreadsheetml/2006/main">
  <person displayName="Gabriel Torres" id="{F958A3B5-615A-4564-A8D0-3CF3B756EC48}" userId="S::gabrieltorres@sandiego.edu::0a59ad92-47df-4db1-9bc2-2d35e3ca105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Z12" dT="2026-01-08T23:37:59.88" personId="{F958A3B5-615A-4564-A8D0-3CF3B756EC48}" id="{1915EA51-743D-4120-B572-65646ED7FAB6}">
    <text>Ratio has almost been cut in half from q3 24 to q3 25/ It is the lowest ratio</text>
  </threadedComment>
  <threadedComment ref="DG26" dT="2026-01-08T23:39:15.54" personId="{F958A3B5-615A-4564-A8D0-3CF3B756EC48}" id="{C3FD0030-21B2-4F99-829E-2484C1C2F829}">
    <text>This is the lowest EBITDAR margin, something to keep an eye on</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D6FD0-3267-4C70-B296-D7342B84A345}">
  <dimension ref="A1:LF72"/>
  <sheetViews>
    <sheetView tabSelected="1" zoomScaleNormal="100" workbookViewId="0">
      <pane xSplit="4" ySplit="3" topLeftCell="KM4" activePane="bottomRight" state="frozen"/>
      <selection activeCell="KM4" sqref="KM4"/>
      <selection pane="topRight" activeCell="KM4" sqref="KM4"/>
      <selection pane="bottomLeft" activeCell="KM4" sqref="KM4"/>
      <selection pane="bottomRight" activeCell="C31" sqref="C31"/>
    </sheetView>
  </sheetViews>
  <sheetFormatPr defaultColWidth="8.85546875" defaultRowHeight="15" outlineLevelCol="1" x14ac:dyDescent="0.25"/>
  <cols>
    <col min="1" max="1" width="35" style="36" customWidth="1"/>
    <col min="2" max="2" width="36.140625" style="37" customWidth="1"/>
    <col min="3" max="3" width="16.5703125" style="84" customWidth="1"/>
    <col min="4" max="4" width="15" style="83" customWidth="1" outlineLevel="1"/>
    <col min="5" max="5" width="11.85546875" style="39" customWidth="1" outlineLevel="1"/>
    <col min="6" max="6" width="11" style="39" customWidth="1" outlineLevel="1"/>
    <col min="7" max="7" width="11.85546875" style="39" customWidth="1" outlineLevel="1"/>
    <col min="8" max="8" width="11.5703125" style="39" customWidth="1" outlineLevel="1"/>
    <col min="9" max="9" width="11.85546875" style="39" customWidth="1" outlineLevel="1"/>
    <col min="10" max="10" width="11.5703125" style="39" customWidth="1" outlineLevel="1"/>
    <col min="11" max="11" width="11.85546875" style="39" customWidth="1" outlineLevel="1"/>
    <col min="12" max="13" width="11.28515625" style="39" customWidth="1" outlineLevel="1"/>
    <col min="14" max="14" width="13.28515625" style="39" customWidth="1" outlineLevel="1"/>
    <col min="15" max="17" width="11.28515625" style="39" customWidth="1" outlineLevel="1"/>
    <col min="18" max="18" width="13" style="39" customWidth="1" outlineLevel="1"/>
    <col min="19" max="21" width="11.7109375" style="39" customWidth="1" outlineLevel="1"/>
    <col min="22" max="22" width="12.140625" style="40" customWidth="1" outlineLevel="1"/>
    <col min="23" max="23" width="9.42578125" style="41" customWidth="1" outlineLevel="1"/>
    <col min="24" max="25" width="9.42578125" style="39" customWidth="1" outlineLevel="1"/>
    <col min="26" max="26" width="9.85546875" style="39" customWidth="1" outlineLevel="1"/>
    <col min="27" max="27" width="9.42578125" style="39" customWidth="1" outlineLevel="1"/>
    <col min="28" max="29" width="9.85546875" style="39" customWidth="1" outlineLevel="1"/>
    <col min="30" max="35" width="9.7109375" style="39" customWidth="1" outlineLevel="1"/>
    <col min="36" max="36" width="14.28515625" style="39" customWidth="1" outlineLevel="1"/>
    <col min="37" max="39" width="10.28515625" style="39" customWidth="1" outlineLevel="1"/>
    <col min="40" max="40" width="10.5703125" style="40" customWidth="1" outlineLevel="1"/>
    <col min="41" max="41" width="8.28515625" style="41" customWidth="1" outlineLevel="1"/>
    <col min="42" max="44" width="8.7109375" style="39" customWidth="1" outlineLevel="1"/>
    <col min="45" max="45" width="8.28515625" style="39" customWidth="1" outlineLevel="1"/>
    <col min="46" max="53" width="8.7109375" style="39" customWidth="1" outlineLevel="1"/>
    <col min="54" max="57" width="7.42578125" style="39" customWidth="1" outlineLevel="1"/>
    <col min="58" max="58" width="7.28515625" style="40" customWidth="1" outlineLevel="1"/>
    <col min="59" max="59" width="8.7109375" style="41" customWidth="1" outlineLevel="1"/>
    <col min="60" max="62" width="9.140625" style="39" customWidth="1" outlineLevel="1"/>
    <col min="63" max="64" width="8.7109375" style="39" customWidth="1" outlineLevel="1"/>
    <col min="65" max="65" width="9.140625" style="39" customWidth="1" outlineLevel="1"/>
    <col min="66" max="66" width="9" style="39" customWidth="1" outlineLevel="1"/>
    <col min="67" max="67" width="8.7109375" style="39" customWidth="1" outlineLevel="1"/>
    <col min="68" max="71" width="9" style="39" customWidth="1" outlineLevel="1"/>
    <col min="72" max="72" width="9.85546875" style="39" customWidth="1" outlineLevel="1"/>
    <col min="73" max="75" width="9" style="39" customWidth="1" outlineLevel="1"/>
    <col min="76" max="76" width="9.140625" style="40" customWidth="1" outlineLevel="1"/>
    <col min="77" max="77" width="9.140625" style="41" customWidth="1" outlineLevel="1"/>
    <col min="78" max="79" width="9.140625" style="39" customWidth="1" outlineLevel="1"/>
    <col min="80" max="81" width="8.7109375" style="39" customWidth="1" outlineLevel="1"/>
    <col min="82" max="82" width="9.140625" style="39" customWidth="1" outlineLevel="1"/>
    <col min="83" max="84" width="8.7109375" style="39" customWidth="1" outlineLevel="1"/>
    <col min="85" max="85" width="9" style="39" customWidth="1" outlineLevel="1"/>
    <col min="86" max="89" width="8.7109375" style="39" customWidth="1" outlineLevel="1"/>
    <col min="90" max="90" width="11.5703125" style="39" customWidth="1" outlineLevel="1"/>
    <col min="91" max="93" width="9.85546875" style="39" customWidth="1" outlineLevel="1"/>
    <col min="94" max="94" width="9.42578125" style="40" customWidth="1" outlineLevel="1"/>
    <col min="95" max="95" width="9.85546875" style="41" customWidth="1" outlineLevel="1"/>
    <col min="96" max="96" width="9.85546875" style="39" customWidth="1" outlineLevel="1"/>
    <col min="97" max="97" width="9.42578125" style="39" customWidth="1" outlineLevel="1"/>
    <col min="98" max="98" width="9.85546875" style="39" customWidth="1" outlineLevel="1"/>
    <col min="99" max="99" width="9.42578125" style="39" customWidth="1" outlineLevel="1"/>
    <col min="100" max="101" width="9.85546875" style="39" customWidth="1" outlineLevel="1"/>
    <col min="102" max="107" width="10" style="39" customWidth="1" outlineLevel="1"/>
    <col min="108" max="108" width="12.140625" style="39" customWidth="1" outlineLevel="1"/>
    <col min="109" max="111" width="10.28515625" style="39" customWidth="1" outlineLevel="1"/>
    <col min="112" max="112" width="9.85546875" style="39" customWidth="1" outlineLevel="1"/>
    <col min="113" max="113" width="11" style="41" customWidth="1" outlineLevel="1"/>
    <col min="114" max="119" width="11.5703125" style="39" customWidth="1" outlineLevel="1"/>
    <col min="120" max="125" width="11.7109375" style="39" customWidth="1" outlineLevel="1"/>
    <col min="126" max="126" width="12.140625" style="39" customWidth="1" outlineLevel="1"/>
    <col min="127" max="129" width="11.7109375" style="39" customWidth="1" outlineLevel="1"/>
    <col min="130" max="130" width="12.140625" style="40" customWidth="1" outlineLevel="1"/>
    <col min="131" max="131" width="11.5703125" style="41" customWidth="1" outlineLevel="1"/>
    <col min="132" max="134" width="11.5703125" style="39" customWidth="1" outlineLevel="1"/>
    <col min="135" max="135" width="11" style="39" customWidth="1" outlineLevel="1"/>
    <col min="136" max="136" width="10.5703125" style="39" customWidth="1" outlineLevel="1"/>
    <col min="137" max="137" width="11" style="39" customWidth="1" outlineLevel="1"/>
    <col min="138" max="138" width="10.7109375" style="39" customWidth="1" outlineLevel="1"/>
    <col min="139" max="143" width="11.28515625" style="39" customWidth="1" outlineLevel="1"/>
    <col min="144" max="144" width="12.140625" style="39" customWidth="1" outlineLevel="1"/>
    <col min="145" max="147" width="10.7109375" style="39" customWidth="1" outlineLevel="1"/>
    <col min="148" max="148" width="11" style="39" customWidth="1" outlineLevel="1"/>
    <col min="149" max="149" width="11.85546875" style="41" customWidth="1" outlineLevel="1"/>
    <col min="150" max="153" width="11.85546875" style="39" customWidth="1" outlineLevel="1"/>
    <col min="154" max="154" width="11" style="39" customWidth="1" outlineLevel="1"/>
    <col min="155" max="155" width="11.85546875" style="39" customWidth="1" outlineLevel="1"/>
    <col min="156" max="161" width="11.7109375" style="39" customWidth="1" outlineLevel="1"/>
    <col min="162" max="162" width="12.7109375" style="39" customWidth="1" outlineLevel="1"/>
    <col min="163" max="166" width="11.7109375" style="39" customWidth="1" outlineLevel="1"/>
    <col min="167" max="167" width="10.28515625" style="41" customWidth="1" outlineLevel="1"/>
    <col min="168" max="168" width="9.85546875" style="39" customWidth="1" outlineLevel="1"/>
    <col min="169" max="169" width="10.28515625" style="39" customWidth="1" outlineLevel="1"/>
    <col min="170" max="170" width="9.42578125" style="39" customWidth="1" outlineLevel="1"/>
    <col min="171" max="171" width="10.28515625" style="39" customWidth="1" outlineLevel="1"/>
    <col min="172" max="172" width="9.85546875" style="39" customWidth="1" outlineLevel="1"/>
    <col min="173" max="184" width="10.28515625" style="39" customWidth="1" outlineLevel="1"/>
    <col min="185" max="185" width="9.85546875" style="41" customWidth="1" outlineLevel="1"/>
    <col min="186" max="186" width="8.7109375" style="39" customWidth="1" outlineLevel="1"/>
    <col min="187" max="188" width="9.42578125" style="39" customWidth="1" outlineLevel="1"/>
    <col min="189" max="189" width="9.85546875" style="39" customWidth="1" outlineLevel="1"/>
    <col min="190" max="190" width="9.42578125" style="39" customWidth="1" outlineLevel="1"/>
    <col min="191" max="191" width="10.28515625" style="39" customWidth="1" outlineLevel="1"/>
    <col min="192" max="192" width="9.7109375" style="39" customWidth="1" outlineLevel="1"/>
    <col min="193" max="197" width="10" style="39" customWidth="1" outlineLevel="1"/>
    <col min="198" max="198" width="11.5703125" style="39" customWidth="1" outlineLevel="1"/>
    <col min="199" max="201" width="9.85546875" style="39" customWidth="1" outlineLevel="1"/>
    <col min="202" max="202" width="11" style="39" customWidth="1" outlineLevel="1"/>
    <col min="203" max="203" width="9.140625" style="41" customWidth="1" outlineLevel="1"/>
    <col min="204" max="205" width="9.140625" style="39" customWidth="1" outlineLevel="1"/>
    <col min="206" max="206" width="8.7109375" style="39" customWidth="1" outlineLevel="1"/>
    <col min="207" max="207" width="9.140625" style="39" customWidth="1" outlineLevel="1"/>
    <col min="208" max="208" width="9" style="39" customWidth="1" outlineLevel="1"/>
    <col min="209" max="209" width="9.140625" style="39" customWidth="1" outlineLevel="1"/>
    <col min="210" max="210" width="9" style="39" customWidth="1" outlineLevel="1"/>
    <col min="211" max="211" width="9.7109375" style="39" customWidth="1" outlineLevel="1"/>
    <col min="212" max="215" width="9" style="39" customWidth="1" outlineLevel="1"/>
    <col min="216" max="216" width="11.85546875" style="39" customWidth="1" outlineLevel="1"/>
    <col min="217" max="219" width="10.28515625" style="39" customWidth="1" outlineLevel="1"/>
    <col min="220" max="220" width="11.5703125" style="39" customWidth="1" outlineLevel="1"/>
    <col min="221" max="221" width="9.85546875" style="41" customWidth="1" outlineLevel="1"/>
    <col min="222" max="222" width="9.42578125" style="39" customWidth="1" outlineLevel="1"/>
    <col min="223" max="223" width="9.85546875" style="39" customWidth="1" outlineLevel="1"/>
    <col min="224" max="225" width="9.42578125" style="39" customWidth="1" outlineLevel="1"/>
    <col min="226" max="226" width="9.85546875" style="39" customWidth="1" outlineLevel="1"/>
    <col min="227" max="227" width="9.42578125" style="39" customWidth="1" outlineLevel="1"/>
    <col min="228" max="233" width="9.7109375" style="39" customWidth="1" outlineLevel="1"/>
    <col min="234" max="234" width="12.28515625" style="39" customWidth="1" outlineLevel="1"/>
    <col min="235" max="237" width="10.28515625" style="39" customWidth="1" outlineLevel="1"/>
    <col min="238" max="238" width="11.7109375" style="39" customWidth="1" outlineLevel="1"/>
    <col min="239" max="239" width="8.28515625" style="41" customWidth="1" outlineLevel="1"/>
    <col min="240" max="242" width="8.7109375" style="39" customWidth="1" outlineLevel="1"/>
    <col min="243" max="243" width="9.85546875" style="39" customWidth="1" outlineLevel="1"/>
    <col min="244" max="251" width="8.7109375" style="39" customWidth="1" outlineLevel="1"/>
    <col min="252" max="255" width="7.42578125" style="39" customWidth="1" outlineLevel="1"/>
    <col min="256" max="256" width="7.28515625" style="39" customWidth="1" outlineLevel="1"/>
    <col min="257" max="257" width="8.28515625" style="41" customWidth="1" outlineLevel="1"/>
    <col min="258" max="260" width="8.7109375" style="39" customWidth="1" outlineLevel="1"/>
    <col min="261" max="261" width="8.28515625" style="39" customWidth="1" outlineLevel="1"/>
    <col min="262" max="265" width="8.7109375" style="39" customWidth="1" outlineLevel="1"/>
    <col min="266" max="269" width="9.42578125" style="39" customWidth="1" outlineLevel="1"/>
    <col min="270" max="270" width="7.42578125" style="39" customWidth="1" outlineLevel="1"/>
    <col min="271" max="273" width="9.7109375" style="39" customWidth="1" outlineLevel="1"/>
    <col min="274" max="274" width="8.28515625" style="39" customWidth="1" outlineLevel="1"/>
    <col min="275" max="275" width="8.28515625" style="41" customWidth="1" outlineLevel="1"/>
    <col min="276" max="278" width="8.7109375" style="39" customWidth="1" outlineLevel="1"/>
    <col min="279" max="279" width="8.28515625" style="39" customWidth="1" outlineLevel="1"/>
    <col min="280" max="283" width="8.7109375" style="39" customWidth="1" outlineLevel="1"/>
    <col min="284" max="287" width="9.42578125" style="39" customWidth="1" outlineLevel="1"/>
    <col min="288" max="288" width="7.42578125" style="39" customWidth="1" outlineLevel="1"/>
    <col min="289" max="291" width="9.7109375" style="39" customWidth="1" outlineLevel="1"/>
    <col min="292" max="292" width="8.28515625" style="39" customWidth="1" outlineLevel="1"/>
    <col min="293" max="293" width="11.140625" style="49" bestFit="1" customWidth="1"/>
    <col min="294" max="294" width="8" style="84" bestFit="1" customWidth="1"/>
    <col min="295" max="295" width="10.140625" style="84" bestFit="1" customWidth="1"/>
    <col min="296" max="296" width="8" style="84" bestFit="1" customWidth="1"/>
    <col min="297" max="297" width="11.7109375" style="37" customWidth="1"/>
    <col min="298" max="298" width="14.42578125" style="51" bestFit="1" customWidth="1"/>
    <col min="299" max="299" width="9.85546875" style="51" bestFit="1" customWidth="1"/>
    <col min="300" max="300" width="10.140625" style="51" bestFit="1" customWidth="1"/>
    <col min="301" max="301" width="8.85546875" style="51" bestFit="1" customWidth="1"/>
    <col min="302" max="302" width="7.42578125" style="51" bestFit="1" customWidth="1"/>
    <col min="303" max="303" width="8.85546875" style="51" bestFit="1" customWidth="1"/>
    <col min="304" max="304" width="8.28515625" style="51" bestFit="1" customWidth="1"/>
    <col min="305" max="305" width="8.85546875" style="51" bestFit="1" customWidth="1"/>
    <col min="306" max="306" width="8.28515625" style="51" bestFit="1" customWidth="1"/>
    <col min="307" max="307" width="15" style="55" bestFit="1" customWidth="1"/>
    <col min="308" max="308" width="18.85546875" style="36" bestFit="1" customWidth="1"/>
    <col min="309" max="309" width="18.85546875" style="37" customWidth="1"/>
    <col min="310" max="310" width="124.85546875" style="37" customWidth="1"/>
    <col min="311" max="311" width="124.85546875" style="37" bestFit="1" customWidth="1"/>
    <col min="312" max="312" width="106.5703125" style="37" bestFit="1" customWidth="1"/>
    <col min="313" max="313" width="18.85546875" style="37" customWidth="1" outlineLevel="1"/>
    <col min="314" max="314" width="123.85546875" style="57" customWidth="1" outlineLevel="1"/>
    <col min="315" max="315" width="31.5703125" style="37" customWidth="1" outlineLevel="1"/>
    <col min="316" max="316" width="160.7109375" style="37" customWidth="1" outlineLevel="1"/>
    <col min="317" max="317" width="101.5703125" style="37" customWidth="1" outlineLevel="1"/>
    <col min="318" max="318" width="255.7109375" style="59" customWidth="1" outlineLevel="1"/>
    <col min="319" max="321" width="8.85546875" style="12"/>
    <col min="322" max="322" width="7.42578125" style="12" bestFit="1" customWidth="1"/>
    <col min="323" max="16384" width="8.85546875" style="12"/>
  </cols>
  <sheetData>
    <row r="1" spans="1:318" x14ac:dyDescent="0.25">
      <c r="A1" s="1" t="s">
        <v>0</v>
      </c>
      <c r="B1" s="2"/>
      <c r="C1" s="2"/>
      <c r="D1" s="3"/>
      <c r="E1" s="4" t="s">
        <v>1</v>
      </c>
      <c r="F1" s="4"/>
      <c r="G1" s="4"/>
      <c r="H1" s="4"/>
      <c r="I1" s="4"/>
      <c r="J1" s="4"/>
      <c r="K1" s="4"/>
      <c r="L1" s="4"/>
      <c r="M1" s="4"/>
      <c r="N1" s="4"/>
      <c r="O1" s="4"/>
      <c r="P1" s="4"/>
      <c r="Q1" s="4"/>
      <c r="R1" s="4"/>
      <c r="S1" s="4"/>
      <c r="T1" s="4"/>
      <c r="U1" s="4"/>
      <c r="V1" s="5"/>
      <c r="W1" s="6" t="s">
        <v>2</v>
      </c>
      <c r="X1" s="7"/>
      <c r="Y1" s="7"/>
      <c r="Z1" s="7"/>
      <c r="AA1" s="7"/>
      <c r="AB1" s="7"/>
      <c r="AC1" s="7"/>
      <c r="AD1" s="7"/>
      <c r="AE1" s="7"/>
      <c r="AF1" s="7"/>
      <c r="AG1" s="7"/>
      <c r="AH1" s="7"/>
      <c r="AI1" s="7"/>
      <c r="AJ1" s="7"/>
      <c r="AK1" s="7"/>
      <c r="AL1" s="7"/>
      <c r="AM1" s="7"/>
      <c r="AN1" s="8"/>
      <c r="AO1" s="9" t="s">
        <v>3</v>
      </c>
      <c r="AP1" s="4"/>
      <c r="AQ1" s="4"/>
      <c r="AR1" s="4"/>
      <c r="AS1" s="4"/>
      <c r="AT1" s="4"/>
      <c r="AU1" s="4"/>
      <c r="AV1" s="4"/>
      <c r="AW1" s="4"/>
      <c r="AX1" s="4"/>
      <c r="AY1" s="4"/>
      <c r="AZ1" s="4"/>
      <c r="BA1" s="4"/>
      <c r="BB1" s="4"/>
      <c r="BC1" s="4"/>
      <c r="BD1" s="4"/>
      <c r="BE1" s="4"/>
      <c r="BF1" s="5"/>
      <c r="BG1" s="9" t="s">
        <v>4</v>
      </c>
      <c r="BH1" s="4"/>
      <c r="BI1" s="4"/>
      <c r="BJ1" s="4"/>
      <c r="BK1" s="4"/>
      <c r="BL1" s="4"/>
      <c r="BM1" s="4"/>
      <c r="BN1" s="4"/>
      <c r="BO1" s="4"/>
      <c r="BP1" s="4"/>
      <c r="BQ1" s="4"/>
      <c r="BR1" s="4"/>
      <c r="BS1" s="4"/>
      <c r="BT1" s="4"/>
      <c r="BU1" s="4"/>
      <c r="BV1" s="4"/>
      <c r="BW1" s="4"/>
      <c r="BX1" s="5"/>
      <c r="BY1" s="9" t="s">
        <v>5</v>
      </c>
      <c r="BZ1" s="4"/>
      <c r="CA1" s="4"/>
      <c r="CB1" s="4"/>
      <c r="CC1" s="4"/>
      <c r="CD1" s="4"/>
      <c r="CE1" s="4"/>
      <c r="CF1" s="4"/>
      <c r="CG1" s="4"/>
      <c r="CH1" s="4"/>
      <c r="CI1" s="4"/>
      <c r="CJ1" s="4"/>
      <c r="CK1" s="4"/>
      <c r="CL1" s="4"/>
      <c r="CM1" s="4"/>
      <c r="CN1" s="4"/>
      <c r="CO1" s="4"/>
      <c r="CP1" s="5"/>
      <c r="CQ1" s="9" t="s">
        <v>6</v>
      </c>
      <c r="CR1" s="4"/>
      <c r="CS1" s="4"/>
      <c r="CT1" s="4"/>
      <c r="CU1" s="4"/>
      <c r="CV1" s="4"/>
      <c r="CW1" s="4"/>
      <c r="CX1" s="4"/>
      <c r="CY1" s="4"/>
      <c r="CZ1" s="4"/>
      <c r="DA1" s="4"/>
      <c r="DB1" s="4"/>
      <c r="DC1" s="4"/>
      <c r="DD1" s="4"/>
      <c r="DE1" s="4"/>
      <c r="DF1" s="4"/>
      <c r="DG1" s="4"/>
      <c r="DH1" s="5"/>
      <c r="DI1" s="9" t="s">
        <v>7</v>
      </c>
      <c r="DJ1" s="4"/>
      <c r="DK1" s="4"/>
      <c r="DL1" s="4"/>
      <c r="DM1" s="4"/>
      <c r="DN1" s="4"/>
      <c r="DO1" s="4"/>
      <c r="DP1" s="4"/>
      <c r="DQ1" s="4"/>
      <c r="DR1" s="4"/>
      <c r="DS1" s="4"/>
      <c r="DT1" s="4"/>
      <c r="DU1" s="4"/>
      <c r="DV1" s="4"/>
      <c r="DW1" s="4"/>
      <c r="DX1" s="4"/>
      <c r="DY1" s="4"/>
      <c r="DZ1" s="5"/>
      <c r="EA1" s="9" t="s">
        <v>8</v>
      </c>
      <c r="EB1" s="4"/>
      <c r="EC1" s="4"/>
      <c r="ED1" s="4"/>
      <c r="EE1" s="4"/>
      <c r="EF1" s="4"/>
      <c r="EG1" s="4"/>
      <c r="EH1" s="4"/>
      <c r="EI1" s="4"/>
      <c r="EJ1" s="4"/>
      <c r="EK1" s="4"/>
      <c r="EL1" s="4"/>
      <c r="EM1" s="4"/>
      <c r="EN1" s="4"/>
      <c r="EO1" s="4"/>
      <c r="EP1" s="4"/>
      <c r="EQ1" s="4"/>
      <c r="ER1" s="5"/>
      <c r="ES1" s="9" t="s">
        <v>9</v>
      </c>
      <c r="ET1" s="4"/>
      <c r="EU1" s="4"/>
      <c r="EV1" s="4"/>
      <c r="EW1" s="4"/>
      <c r="EX1" s="4"/>
      <c r="EY1" s="4"/>
      <c r="EZ1" s="4"/>
      <c r="FA1" s="4"/>
      <c r="FB1" s="4"/>
      <c r="FC1" s="4"/>
      <c r="FD1" s="4"/>
      <c r="FE1" s="4"/>
      <c r="FF1" s="4"/>
      <c r="FG1" s="4"/>
      <c r="FH1" s="4"/>
      <c r="FI1" s="4"/>
      <c r="FJ1" s="5"/>
      <c r="FK1" s="9" t="s">
        <v>10</v>
      </c>
      <c r="FL1" s="4"/>
      <c r="FM1" s="4"/>
      <c r="FN1" s="4"/>
      <c r="FO1" s="4"/>
      <c r="FP1" s="4"/>
      <c r="FQ1" s="4"/>
      <c r="FR1" s="4"/>
      <c r="FS1" s="4"/>
      <c r="FT1" s="4"/>
      <c r="FU1" s="4"/>
      <c r="FV1" s="4"/>
      <c r="FW1" s="4"/>
      <c r="FX1" s="4"/>
      <c r="FY1" s="4"/>
      <c r="FZ1" s="4"/>
      <c r="GA1" s="4"/>
      <c r="GB1" s="5"/>
      <c r="GC1" s="9" t="s">
        <v>11</v>
      </c>
      <c r="GD1" s="4"/>
      <c r="GE1" s="4"/>
      <c r="GF1" s="4"/>
      <c r="GG1" s="4"/>
      <c r="GH1" s="4"/>
      <c r="GI1" s="4"/>
      <c r="GJ1" s="4"/>
      <c r="GK1" s="4"/>
      <c r="GL1" s="4"/>
      <c r="GM1" s="4"/>
      <c r="GN1" s="4"/>
      <c r="GO1" s="4"/>
      <c r="GP1" s="4"/>
      <c r="GQ1" s="4"/>
      <c r="GR1" s="4"/>
      <c r="GS1" s="4"/>
      <c r="GT1" s="5"/>
      <c r="GU1" s="9" t="s">
        <v>12</v>
      </c>
      <c r="GV1" s="4"/>
      <c r="GW1" s="4"/>
      <c r="GX1" s="4"/>
      <c r="GY1" s="4"/>
      <c r="GZ1" s="4"/>
      <c r="HA1" s="4"/>
      <c r="HB1" s="4"/>
      <c r="HC1" s="4"/>
      <c r="HD1" s="4"/>
      <c r="HE1" s="4"/>
      <c r="HF1" s="4"/>
      <c r="HG1" s="4"/>
      <c r="HH1" s="4"/>
      <c r="HI1" s="4"/>
      <c r="HJ1" s="4"/>
      <c r="HK1" s="4"/>
      <c r="HL1" s="5"/>
      <c r="HM1" s="9" t="s">
        <v>13</v>
      </c>
      <c r="HN1" s="4"/>
      <c r="HO1" s="4"/>
      <c r="HP1" s="4"/>
      <c r="HQ1" s="4"/>
      <c r="HR1" s="4"/>
      <c r="HS1" s="4"/>
      <c r="HT1" s="4"/>
      <c r="HU1" s="4"/>
      <c r="HV1" s="4"/>
      <c r="HW1" s="4"/>
      <c r="HX1" s="4"/>
      <c r="HY1" s="4"/>
      <c r="HZ1" s="4"/>
      <c r="IA1" s="4"/>
      <c r="IB1" s="4"/>
      <c r="IC1" s="4"/>
      <c r="ID1" s="5"/>
      <c r="IE1" s="9" t="s">
        <v>14</v>
      </c>
      <c r="IF1" s="4"/>
      <c r="IG1" s="4"/>
      <c r="IH1" s="4"/>
      <c r="II1" s="4"/>
      <c r="IJ1" s="4"/>
      <c r="IK1" s="4"/>
      <c r="IL1" s="4"/>
      <c r="IM1" s="4"/>
      <c r="IN1" s="4"/>
      <c r="IO1" s="4"/>
      <c r="IP1" s="4"/>
      <c r="IQ1" s="4"/>
      <c r="IR1" s="4"/>
      <c r="IS1" s="4"/>
      <c r="IT1" s="4"/>
      <c r="IU1" s="4"/>
      <c r="IV1" s="5"/>
      <c r="IW1" s="9" t="s">
        <v>15</v>
      </c>
      <c r="IX1" s="4"/>
      <c r="IY1" s="4"/>
      <c r="IZ1" s="4"/>
      <c r="JA1" s="4"/>
      <c r="JB1" s="4"/>
      <c r="JC1" s="4"/>
      <c r="JD1" s="4"/>
      <c r="JE1" s="4"/>
      <c r="JF1" s="4"/>
      <c r="JG1" s="4"/>
      <c r="JH1" s="4"/>
      <c r="JI1" s="4"/>
      <c r="JJ1" s="4"/>
      <c r="JK1" s="4"/>
      <c r="JL1" s="4"/>
      <c r="JM1" s="4"/>
      <c r="JN1" s="4"/>
      <c r="JO1" s="9" t="s">
        <v>16</v>
      </c>
      <c r="JP1" s="4"/>
      <c r="JQ1" s="4"/>
      <c r="JR1" s="4"/>
      <c r="JS1" s="4"/>
      <c r="JT1" s="4"/>
      <c r="JU1" s="4"/>
      <c r="JV1" s="4"/>
      <c r="JW1" s="4"/>
      <c r="JX1" s="4"/>
      <c r="JY1" s="4"/>
      <c r="JZ1" s="4"/>
      <c r="KA1" s="4"/>
      <c r="KB1" s="4"/>
      <c r="KC1" s="4"/>
      <c r="KD1" s="4"/>
      <c r="KE1" s="4"/>
      <c r="KF1" s="4"/>
      <c r="KG1" s="1" t="s">
        <v>17</v>
      </c>
      <c r="KH1" s="2"/>
      <c r="KI1" s="2"/>
      <c r="KJ1" s="2"/>
      <c r="KK1" s="2"/>
      <c r="KL1" s="2"/>
      <c r="KM1" s="2"/>
      <c r="KN1" s="2"/>
      <c r="KO1" s="2"/>
      <c r="KP1" s="2"/>
      <c r="KQ1" s="2"/>
      <c r="KR1" s="2"/>
      <c r="KS1" s="2"/>
      <c r="KT1" s="2"/>
      <c r="KU1" s="3"/>
      <c r="KV1" s="1" t="s">
        <v>18</v>
      </c>
      <c r="KW1" s="2"/>
      <c r="KX1" s="10"/>
      <c r="KY1" s="10"/>
      <c r="KZ1" s="10"/>
      <c r="LA1" s="10"/>
      <c r="LB1" s="11"/>
      <c r="LC1" s="10"/>
      <c r="LD1" s="1" t="s">
        <v>19</v>
      </c>
      <c r="LE1" s="2"/>
      <c r="LF1" s="3"/>
    </row>
    <row r="2" spans="1:318" x14ac:dyDescent="0.25">
      <c r="A2" s="13"/>
      <c r="B2" s="14"/>
      <c r="C2" s="14"/>
      <c r="D2" s="15"/>
      <c r="E2" s="16"/>
      <c r="F2" s="16"/>
      <c r="G2" s="16"/>
      <c r="H2" s="16"/>
      <c r="I2" s="16"/>
      <c r="J2" s="16"/>
      <c r="K2" s="16"/>
      <c r="L2" s="16"/>
      <c r="M2" s="16"/>
      <c r="N2" s="16"/>
      <c r="O2" s="16"/>
      <c r="P2" s="16"/>
      <c r="Q2" s="16"/>
      <c r="R2" s="16"/>
      <c r="S2" s="16"/>
      <c r="T2" s="16"/>
      <c r="U2" s="16"/>
      <c r="V2" s="17"/>
      <c r="W2" s="18"/>
      <c r="X2" s="19"/>
      <c r="Y2" s="19"/>
      <c r="Z2" s="19"/>
      <c r="AA2" s="19"/>
      <c r="AB2" s="19"/>
      <c r="AC2" s="19"/>
      <c r="AD2" s="19"/>
      <c r="AE2" s="19"/>
      <c r="AF2" s="19"/>
      <c r="AG2" s="19"/>
      <c r="AH2" s="19"/>
      <c r="AI2" s="19"/>
      <c r="AJ2" s="19"/>
      <c r="AK2" s="19"/>
      <c r="AL2" s="19"/>
      <c r="AM2" s="19"/>
      <c r="AN2" s="20"/>
      <c r="AO2" s="21"/>
      <c r="AP2" s="16"/>
      <c r="AQ2" s="16"/>
      <c r="AR2" s="16"/>
      <c r="AS2" s="16"/>
      <c r="AT2" s="16"/>
      <c r="AU2" s="16"/>
      <c r="AV2" s="16"/>
      <c r="AW2" s="16"/>
      <c r="AX2" s="16"/>
      <c r="AY2" s="16"/>
      <c r="AZ2" s="16"/>
      <c r="BA2" s="16"/>
      <c r="BB2" s="16"/>
      <c r="BC2" s="16"/>
      <c r="BD2" s="16"/>
      <c r="BE2" s="16"/>
      <c r="BF2" s="17"/>
      <c r="BG2" s="21"/>
      <c r="BH2" s="16"/>
      <c r="BI2" s="16"/>
      <c r="BJ2" s="16"/>
      <c r="BK2" s="16"/>
      <c r="BL2" s="16"/>
      <c r="BM2" s="16"/>
      <c r="BN2" s="16"/>
      <c r="BO2" s="16"/>
      <c r="BP2" s="16"/>
      <c r="BQ2" s="16"/>
      <c r="BR2" s="16"/>
      <c r="BS2" s="16"/>
      <c r="BT2" s="16"/>
      <c r="BU2" s="16"/>
      <c r="BV2" s="16"/>
      <c r="BW2" s="16"/>
      <c r="BX2" s="17"/>
      <c r="BY2" s="21"/>
      <c r="BZ2" s="16"/>
      <c r="CA2" s="16"/>
      <c r="CB2" s="16"/>
      <c r="CC2" s="16"/>
      <c r="CD2" s="16"/>
      <c r="CE2" s="16"/>
      <c r="CF2" s="16"/>
      <c r="CG2" s="16"/>
      <c r="CH2" s="16"/>
      <c r="CI2" s="16"/>
      <c r="CJ2" s="16"/>
      <c r="CK2" s="16"/>
      <c r="CL2" s="16"/>
      <c r="CM2" s="16"/>
      <c r="CN2" s="16"/>
      <c r="CO2" s="16"/>
      <c r="CP2" s="17"/>
      <c r="CQ2" s="21"/>
      <c r="CR2" s="16"/>
      <c r="CS2" s="16"/>
      <c r="CT2" s="16"/>
      <c r="CU2" s="16"/>
      <c r="CV2" s="16"/>
      <c r="CW2" s="16"/>
      <c r="CX2" s="16"/>
      <c r="CY2" s="16"/>
      <c r="CZ2" s="16"/>
      <c r="DA2" s="16"/>
      <c r="DB2" s="16"/>
      <c r="DC2" s="16"/>
      <c r="DD2" s="16"/>
      <c r="DE2" s="16"/>
      <c r="DF2" s="16"/>
      <c r="DG2" s="16"/>
      <c r="DH2" s="16"/>
      <c r="DI2" s="21"/>
      <c r="DJ2" s="16"/>
      <c r="DK2" s="16"/>
      <c r="DL2" s="16"/>
      <c r="DM2" s="16"/>
      <c r="DN2" s="16"/>
      <c r="DO2" s="16"/>
      <c r="DP2" s="16"/>
      <c r="DQ2" s="16"/>
      <c r="DR2" s="16"/>
      <c r="DS2" s="16"/>
      <c r="DT2" s="16"/>
      <c r="DU2" s="16"/>
      <c r="DV2" s="16"/>
      <c r="DW2" s="16"/>
      <c r="DX2" s="16"/>
      <c r="DY2" s="16"/>
      <c r="DZ2" s="17"/>
      <c r="EA2" s="21"/>
      <c r="EB2" s="16"/>
      <c r="EC2" s="16"/>
      <c r="ED2" s="16"/>
      <c r="EE2" s="16"/>
      <c r="EF2" s="16"/>
      <c r="EG2" s="16"/>
      <c r="EH2" s="16"/>
      <c r="EI2" s="16"/>
      <c r="EJ2" s="16"/>
      <c r="EK2" s="16"/>
      <c r="EL2" s="16"/>
      <c r="EM2" s="16"/>
      <c r="EN2" s="16"/>
      <c r="EO2" s="16"/>
      <c r="EP2" s="16"/>
      <c r="EQ2" s="16"/>
      <c r="ER2" s="16"/>
      <c r="ES2" s="21"/>
      <c r="ET2" s="16"/>
      <c r="EU2" s="16"/>
      <c r="EV2" s="16"/>
      <c r="EW2" s="16"/>
      <c r="EX2" s="16"/>
      <c r="EY2" s="16"/>
      <c r="EZ2" s="16"/>
      <c r="FA2" s="16"/>
      <c r="FB2" s="16"/>
      <c r="FC2" s="16"/>
      <c r="FD2" s="16"/>
      <c r="FE2" s="16"/>
      <c r="FF2" s="16"/>
      <c r="FG2" s="16"/>
      <c r="FH2" s="16"/>
      <c r="FI2" s="16"/>
      <c r="FJ2" s="16"/>
      <c r="FK2" s="21"/>
      <c r="FL2" s="16"/>
      <c r="FM2" s="16"/>
      <c r="FN2" s="16"/>
      <c r="FO2" s="16"/>
      <c r="FP2" s="16"/>
      <c r="FQ2" s="16"/>
      <c r="FR2" s="16"/>
      <c r="FS2" s="16"/>
      <c r="FT2" s="16"/>
      <c r="FU2" s="16"/>
      <c r="FV2" s="16"/>
      <c r="FW2" s="16"/>
      <c r="FX2" s="16"/>
      <c r="FY2" s="16"/>
      <c r="FZ2" s="16"/>
      <c r="GA2" s="16"/>
      <c r="GB2" s="16"/>
      <c r="GC2" s="21"/>
      <c r="GD2" s="16"/>
      <c r="GE2" s="16"/>
      <c r="GF2" s="16"/>
      <c r="GG2" s="16"/>
      <c r="GH2" s="16"/>
      <c r="GI2" s="16"/>
      <c r="GJ2" s="16"/>
      <c r="GK2" s="16"/>
      <c r="GL2" s="16"/>
      <c r="GM2" s="16"/>
      <c r="GN2" s="16"/>
      <c r="GO2" s="16"/>
      <c r="GP2" s="16"/>
      <c r="GQ2" s="16"/>
      <c r="GR2" s="16"/>
      <c r="GS2" s="16"/>
      <c r="GT2" s="16"/>
      <c r="GU2" s="21"/>
      <c r="GV2" s="16"/>
      <c r="GW2" s="16"/>
      <c r="GX2" s="16"/>
      <c r="GY2" s="16"/>
      <c r="GZ2" s="16"/>
      <c r="HA2" s="16"/>
      <c r="HB2" s="16"/>
      <c r="HC2" s="16"/>
      <c r="HD2" s="16"/>
      <c r="HE2" s="16"/>
      <c r="HF2" s="16"/>
      <c r="HG2" s="16"/>
      <c r="HH2" s="16"/>
      <c r="HI2" s="16"/>
      <c r="HJ2" s="16"/>
      <c r="HK2" s="16"/>
      <c r="HL2" s="16"/>
      <c r="HM2" s="21"/>
      <c r="HN2" s="16"/>
      <c r="HO2" s="16"/>
      <c r="HP2" s="16"/>
      <c r="HQ2" s="16"/>
      <c r="HR2" s="16"/>
      <c r="HS2" s="16"/>
      <c r="HT2" s="16"/>
      <c r="HU2" s="16"/>
      <c r="HV2" s="16"/>
      <c r="HW2" s="16"/>
      <c r="HX2" s="16"/>
      <c r="HY2" s="16"/>
      <c r="HZ2" s="16"/>
      <c r="IA2" s="16"/>
      <c r="IB2" s="16"/>
      <c r="IC2" s="16"/>
      <c r="ID2" s="16"/>
      <c r="IE2" s="21"/>
      <c r="IF2" s="16"/>
      <c r="IG2" s="16"/>
      <c r="IH2" s="16"/>
      <c r="II2" s="16"/>
      <c r="IJ2" s="16"/>
      <c r="IK2" s="16"/>
      <c r="IL2" s="16"/>
      <c r="IM2" s="16"/>
      <c r="IN2" s="16"/>
      <c r="IO2" s="16"/>
      <c r="IP2" s="16"/>
      <c r="IQ2" s="16"/>
      <c r="IR2" s="16"/>
      <c r="IS2" s="16"/>
      <c r="IT2" s="16"/>
      <c r="IU2" s="16"/>
      <c r="IV2" s="16"/>
      <c r="IW2" s="21"/>
      <c r="IX2" s="16"/>
      <c r="IY2" s="16"/>
      <c r="IZ2" s="16"/>
      <c r="JA2" s="16"/>
      <c r="JB2" s="16"/>
      <c r="JC2" s="16"/>
      <c r="JD2" s="16"/>
      <c r="JE2" s="16"/>
      <c r="JF2" s="16"/>
      <c r="JG2" s="16"/>
      <c r="JH2" s="16"/>
      <c r="JI2" s="16"/>
      <c r="JJ2" s="16"/>
      <c r="JK2" s="16"/>
      <c r="JL2" s="16"/>
      <c r="JM2" s="16"/>
      <c r="JN2" s="16"/>
      <c r="JO2" s="21"/>
      <c r="JP2" s="16"/>
      <c r="JQ2" s="16"/>
      <c r="JR2" s="16"/>
      <c r="JS2" s="16"/>
      <c r="JT2" s="16"/>
      <c r="JU2" s="16"/>
      <c r="JV2" s="16"/>
      <c r="JW2" s="16"/>
      <c r="JX2" s="16"/>
      <c r="JY2" s="16"/>
      <c r="JZ2" s="16"/>
      <c r="KA2" s="16"/>
      <c r="KB2" s="16"/>
      <c r="KC2" s="16"/>
      <c r="KD2" s="16"/>
      <c r="KE2" s="16"/>
      <c r="KF2" s="16"/>
      <c r="KG2" s="1" t="s">
        <v>20</v>
      </c>
      <c r="KH2" s="3"/>
      <c r="KI2" s="1" t="s">
        <v>21</v>
      </c>
      <c r="KJ2" s="3"/>
      <c r="KK2" s="14"/>
      <c r="KL2" s="14"/>
      <c r="KM2" s="14"/>
      <c r="KN2" s="14"/>
      <c r="KO2" s="1" t="s">
        <v>22</v>
      </c>
      <c r="KP2" s="3"/>
      <c r="KQ2" s="1" t="s">
        <v>23</v>
      </c>
      <c r="KR2" s="3"/>
      <c r="KS2" s="1" t="s">
        <v>24</v>
      </c>
      <c r="KT2" s="3"/>
      <c r="KU2" s="15"/>
      <c r="KV2" s="13"/>
      <c r="KW2" s="14"/>
      <c r="KX2" s="14"/>
      <c r="KY2" s="14"/>
      <c r="KZ2" s="14"/>
      <c r="LA2" s="14"/>
      <c r="LB2" s="22"/>
      <c r="LC2" s="14"/>
      <c r="LD2" s="13"/>
      <c r="LE2" s="14"/>
      <c r="LF2" s="15"/>
    </row>
    <row r="3" spans="1:318" ht="31.9" customHeight="1" x14ac:dyDescent="0.25">
      <c r="A3" s="23" t="s">
        <v>25</v>
      </c>
      <c r="B3" s="24" t="s">
        <v>26</v>
      </c>
      <c r="C3" s="24" t="s">
        <v>27</v>
      </c>
      <c r="D3" s="25" t="s">
        <v>28</v>
      </c>
      <c r="E3" s="26" t="s">
        <v>29</v>
      </c>
      <c r="F3" s="26" t="s">
        <v>30</v>
      </c>
      <c r="G3" s="26" t="s">
        <v>31</v>
      </c>
      <c r="H3" s="26" t="s">
        <v>32</v>
      </c>
      <c r="I3" s="26" t="s">
        <v>33</v>
      </c>
      <c r="J3" s="26" t="s">
        <v>34</v>
      </c>
      <c r="K3" s="26" t="s">
        <v>35</v>
      </c>
      <c r="L3" s="26" t="s">
        <v>36</v>
      </c>
      <c r="M3" s="26" t="s">
        <v>37</v>
      </c>
      <c r="N3" s="26" t="s">
        <v>38</v>
      </c>
      <c r="O3" s="27" t="s">
        <v>39</v>
      </c>
      <c r="P3" s="27" t="s">
        <v>40</v>
      </c>
      <c r="Q3" s="27" t="s">
        <v>41</v>
      </c>
      <c r="R3" s="26">
        <v>2023</v>
      </c>
      <c r="S3" s="26">
        <v>2024</v>
      </c>
      <c r="T3" s="26">
        <v>2025</v>
      </c>
      <c r="U3" s="26">
        <v>2026</v>
      </c>
      <c r="V3" s="28" t="s">
        <v>42</v>
      </c>
      <c r="W3" s="29" t="s">
        <v>29</v>
      </c>
      <c r="X3" s="26" t="s">
        <v>30</v>
      </c>
      <c r="Y3" s="26" t="s">
        <v>31</v>
      </c>
      <c r="Z3" s="26" t="s">
        <v>32</v>
      </c>
      <c r="AA3" s="26" t="s">
        <v>33</v>
      </c>
      <c r="AB3" s="26" t="s">
        <v>34</v>
      </c>
      <c r="AC3" s="26" t="s">
        <v>35</v>
      </c>
      <c r="AD3" s="26" t="s">
        <v>36</v>
      </c>
      <c r="AE3" s="26" t="s">
        <v>37</v>
      </c>
      <c r="AF3" s="26" t="s">
        <v>38</v>
      </c>
      <c r="AG3" s="27" t="s">
        <v>39</v>
      </c>
      <c r="AH3" s="27" t="s">
        <v>40</v>
      </c>
      <c r="AI3" s="27" t="s">
        <v>43</v>
      </c>
      <c r="AJ3" s="26">
        <v>2023</v>
      </c>
      <c r="AK3" s="26">
        <v>2024</v>
      </c>
      <c r="AL3" s="26">
        <v>2025</v>
      </c>
      <c r="AM3" s="26">
        <v>2026</v>
      </c>
      <c r="AN3" s="28" t="s">
        <v>42</v>
      </c>
      <c r="AO3" s="29" t="s">
        <v>29</v>
      </c>
      <c r="AP3" s="26" t="s">
        <v>30</v>
      </c>
      <c r="AQ3" s="26" t="s">
        <v>31</v>
      </c>
      <c r="AR3" s="26" t="s">
        <v>32</v>
      </c>
      <c r="AS3" s="26" t="s">
        <v>33</v>
      </c>
      <c r="AT3" s="26" t="s">
        <v>34</v>
      </c>
      <c r="AU3" s="26" t="s">
        <v>35</v>
      </c>
      <c r="AV3" s="26" t="s">
        <v>36</v>
      </c>
      <c r="AW3" s="26" t="s">
        <v>37</v>
      </c>
      <c r="AX3" s="26" t="s">
        <v>38</v>
      </c>
      <c r="AY3" s="27" t="s">
        <v>39</v>
      </c>
      <c r="AZ3" s="27" t="s">
        <v>40</v>
      </c>
      <c r="BA3" s="27" t="s">
        <v>41</v>
      </c>
      <c r="BB3" s="26">
        <v>2023</v>
      </c>
      <c r="BC3" s="26">
        <v>2024</v>
      </c>
      <c r="BD3" s="26">
        <v>2025</v>
      </c>
      <c r="BE3" s="26">
        <v>2026</v>
      </c>
      <c r="BF3" s="28" t="s">
        <v>42</v>
      </c>
      <c r="BG3" s="29" t="s">
        <v>29</v>
      </c>
      <c r="BH3" s="26" t="s">
        <v>30</v>
      </c>
      <c r="BI3" s="26" t="s">
        <v>31</v>
      </c>
      <c r="BJ3" s="26" t="s">
        <v>32</v>
      </c>
      <c r="BK3" s="26" t="s">
        <v>33</v>
      </c>
      <c r="BL3" s="26" t="s">
        <v>34</v>
      </c>
      <c r="BM3" s="26" t="s">
        <v>35</v>
      </c>
      <c r="BN3" s="26" t="s">
        <v>36</v>
      </c>
      <c r="BO3" s="26" t="s">
        <v>37</v>
      </c>
      <c r="BP3" s="26" t="s">
        <v>38</v>
      </c>
      <c r="BQ3" s="27" t="s">
        <v>39</v>
      </c>
      <c r="BR3" s="27" t="s">
        <v>40</v>
      </c>
      <c r="BS3" s="27" t="s">
        <v>41</v>
      </c>
      <c r="BT3" s="26">
        <v>2023</v>
      </c>
      <c r="BU3" s="26">
        <v>2024</v>
      </c>
      <c r="BV3" s="26">
        <v>2025</v>
      </c>
      <c r="BW3" s="26">
        <v>2026</v>
      </c>
      <c r="BX3" s="28" t="s">
        <v>42</v>
      </c>
      <c r="BY3" s="29" t="s">
        <v>29</v>
      </c>
      <c r="BZ3" s="26" t="s">
        <v>30</v>
      </c>
      <c r="CA3" s="26" t="s">
        <v>31</v>
      </c>
      <c r="CB3" s="26" t="s">
        <v>32</v>
      </c>
      <c r="CC3" s="26" t="s">
        <v>33</v>
      </c>
      <c r="CD3" s="26" t="s">
        <v>34</v>
      </c>
      <c r="CE3" s="26" t="s">
        <v>35</v>
      </c>
      <c r="CF3" s="26" t="s">
        <v>36</v>
      </c>
      <c r="CG3" s="26" t="s">
        <v>37</v>
      </c>
      <c r="CH3" s="26" t="s">
        <v>38</v>
      </c>
      <c r="CI3" s="27" t="s">
        <v>39</v>
      </c>
      <c r="CJ3" s="27" t="s">
        <v>40</v>
      </c>
      <c r="CK3" s="27" t="s">
        <v>41</v>
      </c>
      <c r="CL3" s="26">
        <v>2023</v>
      </c>
      <c r="CM3" s="26">
        <v>2024</v>
      </c>
      <c r="CN3" s="26">
        <v>2025</v>
      </c>
      <c r="CO3" s="26">
        <v>2026</v>
      </c>
      <c r="CP3" s="28" t="s">
        <v>42</v>
      </c>
      <c r="CQ3" s="29" t="s">
        <v>29</v>
      </c>
      <c r="CR3" s="26" t="s">
        <v>30</v>
      </c>
      <c r="CS3" s="26" t="s">
        <v>31</v>
      </c>
      <c r="CT3" s="26" t="s">
        <v>32</v>
      </c>
      <c r="CU3" s="26" t="s">
        <v>33</v>
      </c>
      <c r="CV3" s="26" t="s">
        <v>34</v>
      </c>
      <c r="CW3" s="26" t="s">
        <v>35</v>
      </c>
      <c r="CX3" s="26" t="s">
        <v>36</v>
      </c>
      <c r="CY3" s="26" t="s">
        <v>37</v>
      </c>
      <c r="CZ3" s="26" t="s">
        <v>38</v>
      </c>
      <c r="DA3" s="27" t="s">
        <v>39</v>
      </c>
      <c r="DB3" s="27" t="s">
        <v>40</v>
      </c>
      <c r="DC3" s="27" t="s">
        <v>41</v>
      </c>
      <c r="DD3" s="26">
        <v>2023</v>
      </c>
      <c r="DE3" s="26">
        <v>2024</v>
      </c>
      <c r="DF3" s="26">
        <v>2025</v>
      </c>
      <c r="DG3" s="26">
        <v>2026</v>
      </c>
      <c r="DH3" s="26" t="s">
        <v>42</v>
      </c>
      <c r="DI3" s="29" t="s">
        <v>29</v>
      </c>
      <c r="DJ3" s="26" t="s">
        <v>30</v>
      </c>
      <c r="DK3" s="26" t="s">
        <v>31</v>
      </c>
      <c r="DL3" s="26" t="s">
        <v>32</v>
      </c>
      <c r="DM3" s="26" t="s">
        <v>33</v>
      </c>
      <c r="DN3" s="26" t="s">
        <v>34</v>
      </c>
      <c r="DO3" s="26" t="s">
        <v>35</v>
      </c>
      <c r="DP3" s="26" t="s">
        <v>36</v>
      </c>
      <c r="DQ3" s="26" t="s">
        <v>37</v>
      </c>
      <c r="DR3" s="26" t="s">
        <v>38</v>
      </c>
      <c r="DS3" s="26" t="s">
        <v>39</v>
      </c>
      <c r="DT3" s="26" t="s">
        <v>40</v>
      </c>
      <c r="DU3" s="26" t="s">
        <v>41</v>
      </c>
      <c r="DV3" s="26">
        <v>2023</v>
      </c>
      <c r="DW3" s="26">
        <v>2024</v>
      </c>
      <c r="DX3" s="26">
        <v>2025</v>
      </c>
      <c r="DY3" s="26">
        <v>2026</v>
      </c>
      <c r="DZ3" s="28" t="s">
        <v>42</v>
      </c>
      <c r="EA3" s="29" t="s">
        <v>29</v>
      </c>
      <c r="EB3" s="26" t="s">
        <v>30</v>
      </c>
      <c r="EC3" s="26" t="s">
        <v>31</v>
      </c>
      <c r="ED3" s="26" t="s">
        <v>32</v>
      </c>
      <c r="EE3" s="26" t="s">
        <v>33</v>
      </c>
      <c r="EF3" s="26" t="s">
        <v>34</v>
      </c>
      <c r="EG3" s="26" t="s">
        <v>35</v>
      </c>
      <c r="EH3" s="26" t="s">
        <v>36</v>
      </c>
      <c r="EI3" s="26" t="s">
        <v>37</v>
      </c>
      <c r="EJ3" s="26" t="s">
        <v>38</v>
      </c>
      <c r="EK3" s="26" t="s">
        <v>39</v>
      </c>
      <c r="EL3" s="26" t="s">
        <v>40</v>
      </c>
      <c r="EM3" s="26" t="s">
        <v>41</v>
      </c>
      <c r="EN3" s="26">
        <v>2023</v>
      </c>
      <c r="EO3" s="26">
        <v>2024</v>
      </c>
      <c r="EP3" s="26">
        <v>2025</v>
      </c>
      <c r="EQ3" s="26">
        <v>2026</v>
      </c>
      <c r="ER3" s="26" t="s">
        <v>42</v>
      </c>
      <c r="ES3" s="29" t="s">
        <v>29</v>
      </c>
      <c r="ET3" s="26" t="s">
        <v>30</v>
      </c>
      <c r="EU3" s="26" t="s">
        <v>31</v>
      </c>
      <c r="EV3" s="26" t="s">
        <v>32</v>
      </c>
      <c r="EW3" s="26" t="s">
        <v>33</v>
      </c>
      <c r="EX3" s="26" t="s">
        <v>34</v>
      </c>
      <c r="EY3" s="26" t="s">
        <v>35</v>
      </c>
      <c r="EZ3" s="26" t="s">
        <v>36</v>
      </c>
      <c r="FA3" s="26" t="s">
        <v>37</v>
      </c>
      <c r="FB3" s="26" t="s">
        <v>38</v>
      </c>
      <c r="FC3" s="26" t="s">
        <v>39</v>
      </c>
      <c r="FD3" s="26" t="s">
        <v>40</v>
      </c>
      <c r="FE3" s="26" t="s">
        <v>41</v>
      </c>
      <c r="FF3" s="26">
        <v>2023</v>
      </c>
      <c r="FG3" s="26">
        <v>2024</v>
      </c>
      <c r="FH3" s="26">
        <v>2025</v>
      </c>
      <c r="FI3" s="26">
        <v>2026</v>
      </c>
      <c r="FJ3" s="26" t="s">
        <v>42</v>
      </c>
      <c r="FK3" s="29" t="s">
        <v>29</v>
      </c>
      <c r="FL3" s="26" t="s">
        <v>30</v>
      </c>
      <c r="FM3" s="26" t="s">
        <v>31</v>
      </c>
      <c r="FN3" s="26" t="s">
        <v>32</v>
      </c>
      <c r="FO3" s="26" t="s">
        <v>33</v>
      </c>
      <c r="FP3" s="26" t="s">
        <v>34</v>
      </c>
      <c r="FQ3" s="26" t="s">
        <v>35</v>
      </c>
      <c r="FR3" s="26" t="s">
        <v>36</v>
      </c>
      <c r="FS3" s="26" t="s">
        <v>37</v>
      </c>
      <c r="FT3" s="26" t="s">
        <v>38</v>
      </c>
      <c r="FU3" s="26" t="s">
        <v>39</v>
      </c>
      <c r="FV3" s="26" t="s">
        <v>40</v>
      </c>
      <c r="FW3" s="26" t="s">
        <v>41</v>
      </c>
      <c r="FX3" s="26">
        <v>2023</v>
      </c>
      <c r="FY3" s="26">
        <v>2024</v>
      </c>
      <c r="FZ3" s="26">
        <v>2025</v>
      </c>
      <c r="GA3" s="26">
        <v>2026</v>
      </c>
      <c r="GB3" s="26" t="s">
        <v>42</v>
      </c>
      <c r="GC3" s="29" t="s">
        <v>29</v>
      </c>
      <c r="GD3" s="26" t="s">
        <v>30</v>
      </c>
      <c r="GE3" s="26" t="s">
        <v>31</v>
      </c>
      <c r="GF3" s="26" t="s">
        <v>32</v>
      </c>
      <c r="GG3" s="26" t="s">
        <v>33</v>
      </c>
      <c r="GH3" s="26" t="s">
        <v>34</v>
      </c>
      <c r="GI3" s="26" t="s">
        <v>35</v>
      </c>
      <c r="GJ3" s="26" t="s">
        <v>36</v>
      </c>
      <c r="GK3" s="26" t="s">
        <v>37</v>
      </c>
      <c r="GL3" s="26" t="s">
        <v>38</v>
      </c>
      <c r="GM3" s="26" t="s">
        <v>39</v>
      </c>
      <c r="GN3" s="26" t="s">
        <v>40</v>
      </c>
      <c r="GO3" s="26" t="s">
        <v>41</v>
      </c>
      <c r="GP3" s="26">
        <v>2023</v>
      </c>
      <c r="GQ3" s="26">
        <v>2024</v>
      </c>
      <c r="GR3" s="26">
        <v>2025</v>
      </c>
      <c r="GS3" s="26">
        <v>2026</v>
      </c>
      <c r="GT3" s="26" t="s">
        <v>42</v>
      </c>
      <c r="GU3" s="29" t="s">
        <v>29</v>
      </c>
      <c r="GV3" s="26" t="s">
        <v>30</v>
      </c>
      <c r="GW3" s="26" t="s">
        <v>31</v>
      </c>
      <c r="GX3" s="26" t="s">
        <v>32</v>
      </c>
      <c r="GY3" s="26" t="s">
        <v>33</v>
      </c>
      <c r="GZ3" s="26" t="s">
        <v>34</v>
      </c>
      <c r="HA3" s="26" t="s">
        <v>35</v>
      </c>
      <c r="HB3" s="26" t="s">
        <v>36</v>
      </c>
      <c r="HC3" s="26" t="s">
        <v>37</v>
      </c>
      <c r="HD3" s="26" t="s">
        <v>38</v>
      </c>
      <c r="HE3" s="26" t="s">
        <v>39</v>
      </c>
      <c r="HF3" s="26" t="s">
        <v>40</v>
      </c>
      <c r="HG3" s="26" t="s">
        <v>41</v>
      </c>
      <c r="HH3" s="26">
        <v>2023</v>
      </c>
      <c r="HI3" s="26">
        <v>2024</v>
      </c>
      <c r="HJ3" s="26">
        <v>2025</v>
      </c>
      <c r="HK3" s="26">
        <v>2026</v>
      </c>
      <c r="HL3" s="26" t="s">
        <v>42</v>
      </c>
      <c r="HM3" s="29" t="s">
        <v>29</v>
      </c>
      <c r="HN3" s="26" t="s">
        <v>30</v>
      </c>
      <c r="HO3" s="26" t="s">
        <v>31</v>
      </c>
      <c r="HP3" s="26" t="s">
        <v>32</v>
      </c>
      <c r="HQ3" s="26" t="s">
        <v>33</v>
      </c>
      <c r="HR3" s="26" t="s">
        <v>34</v>
      </c>
      <c r="HS3" s="26" t="s">
        <v>35</v>
      </c>
      <c r="HT3" s="26" t="s">
        <v>36</v>
      </c>
      <c r="HU3" s="26" t="s">
        <v>37</v>
      </c>
      <c r="HV3" s="26" t="s">
        <v>38</v>
      </c>
      <c r="HW3" s="26" t="s">
        <v>39</v>
      </c>
      <c r="HX3" s="26" t="s">
        <v>40</v>
      </c>
      <c r="HY3" s="26" t="s">
        <v>41</v>
      </c>
      <c r="HZ3" s="26">
        <v>2023</v>
      </c>
      <c r="IA3" s="26">
        <v>2024</v>
      </c>
      <c r="IB3" s="26">
        <v>2025</v>
      </c>
      <c r="IC3" s="26">
        <v>2026</v>
      </c>
      <c r="ID3" s="26" t="s">
        <v>42</v>
      </c>
      <c r="IE3" s="29" t="s">
        <v>29</v>
      </c>
      <c r="IF3" s="26" t="s">
        <v>30</v>
      </c>
      <c r="IG3" s="26" t="s">
        <v>31</v>
      </c>
      <c r="IH3" s="26" t="s">
        <v>32</v>
      </c>
      <c r="II3" s="26" t="s">
        <v>33</v>
      </c>
      <c r="IJ3" s="26" t="s">
        <v>34</v>
      </c>
      <c r="IK3" s="26" t="s">
        <v>35</v>
      </c>
      <c r="IL3" s="26" t="s">
        <v>36</v>
      </c>
      <c r="IM3" s="26" t="s">
        <v>37</v>
      </c>
      <c r="IN3" s="26" t="s">
        <v>38</v>
      </c>
      <c r="IO3" s="26" t="s">
        <v>39</v>
      </c>
      <c r="IP3" s="26" t="s">
        <v>40</v>
      </c>
      <c r="IQ3" s="26" t="s">
        <v>41</v>
      </c>
      <c r="IR3" s="26">
        <v>2023</v>
      </c>
      <c r="IS3" s="26">
        <v>2024</v>
      </c>
      <c r="IT3" s="26">
        <v>2025</v>
      </c>
      <c r="IU3" s="26">
        <v>2026</v>
      </c>
      <c r="IV3" s="26" t="s">
        <v>42</v>
      </c>
      <c r="IW3" s="29" t="s">
        <v>29</v>
      </c>
      <c r="IX3" s="26" t="s">
        <v>30</v>
      </c>
      <c r="IY3" s="26" t="s">
        <v>31</v>
      </c>
      <c r="IZ3" s="26" t="s">
        <v>32</v>
      </c>
      <c r="JA3" s="26" t="s">
        <v>33</v>
      </c>
      <c r="JB3" s="26" t="s">
        <v>34</v>
      </c>
      <c r="JC3" s="26" t="s">
        <v>35</v>
      </c>
      <c r="JD3" s="26" t="s">
        <v>36</v>
      </c>
      <c r="JE3" s="26" t="s">
        <v>37</v>
      </c>
      <c r="JF3" s="26" t="s">
        <v>38</v>
      </c>
      <c r="JG3" s="26" t="s">
        <v>39</v>
      </c>
      <c r="JH3" s="26" t="s">
        <v>40</v>
      </c>
      <c r="JI3" s="26" t="s">
        <v>44</v>
      </c>
      <c r="JJ3" s="26">
        <v>2023</v>
      </c>
      <c r="JK3" s="26">
        <v>2024</v>
      </c>
      <c r="JL3" s="26">
        <v>2025</v>
      </c>
      <c r="JM3" s="26">
        <v>2026</v>
      </c>
      <c r="JN3" s="26" t="s">
        <v>42</v>
      </c>
      <c r="JO3" s="29" t="s">
        <v>29</v>
      </c>
      <c r="JP3" s="26" t="s">
        <v>30</v>
      </c>
      <c r="JQ3" s="26" t="s">
        <v>31</v>
      </c>
      <c r="JR3" s="26" t="s">
        <v>32</v>
      </c>
      <c r="JS3" s="26" t="s">
        <v>33</v>
      </c>
      <c r="JT3" s="26" t="s">
        <v>34</v>
      </c>
      <c r="JU3" s="26" t="s">
        <v>35</v>
      </c>
      <c r="JV3" s="26" t="s">
        <v>36</v>
      </c>
      <c r="JW3" s="26" t="s">
        <v>37</v>
      </c>
      <c r="JX3" s="26" t="s">
        <v>38</v>
      </c>
      <c r="JY3" s="26" t="s">
        <v>39</v>
      </c>
      <c r="JZ3" s="26" t="s">
        <v>40</v>
      </c>
      <c r="KA3" s="26" t="s">
        <v>41</v>
      </c>
      <c r="KB3" s="26">
        <v>2023</v>
      </c>
      <c r="KC3" s="26">
        <v>2024</v>
      </c>
      <c r="KD3" s="26">
        <v>2025</v>
      </c>
      <c r="KE3" s="26">
        <v>2026</v>
      </c>
      <c r="KF3" s="26" t="s">
        <v>42</v>
      </c>
      <c r="KG3" s="23" t="s">
        <v>45</v>
      </c>
      <c r="KH3" s="25" t="s">
        <v>46</v>
      </c>
      <c r="KI3" s="23" t="s">
        <v>45</v>
      </c>
      <c r="KJ3" s="25" t="s">
        <v>46</v>
      </c>
      <c r="KK3" s="30" t="s">
        <v>3</v>
      </c>
      <c r="KL3" s="31" t="s">
        <v>47</v>
      </c>
      <c r="KM3" s="31" t="s">
        <v>48</v>
      </c>
      <c r="KN3" s="31" t="s">
        <v>49</v>
      </c>
      <c r="KO3" s="32" t="s">
        <v>45</v>
      </c>
      <c r="KP3" s="33" t="s">
        <v>50</v>
      </c>
      <c r="KQ3" s="32" t="s">
        <v>45</v>
      </c>
      <c r="KR3" s="33" t="s">
        <v>50</v>
      </c>
      <c r="KS3" s="32" t="s">
        <v>45</v>
      </c>
      <c r="KT3" s="33" t="s">
        <v>50</v>
      </c>
      <c r="KU3" s="34" t="s">
        <v>51</v>
      </c>
      <c r="KV3" s="23" t="s">
        <v>52</v>
      </c>
      <c r="KW3" s="24" t="s">
        <v>53</v>
      </c>
      <c r="KX3" s="24" t="s">
        <v>54</v>
      </c>
      <c r="KY3" s="24" t="s">
        <v>55</v>
      </c>
      <c r="KZ3" s="24" t="s">
        <v>56</v>
      </c>
      <c r="LA3" s="24" t="s">
        <v>57</v>
      </c>
      <c r="LB3" s="24" t="s">
        <v>58</v>
      </c>
      <c r="LC3" s="24" t="s">
        <v>59</v>
      </c>
      <c r="LD3" s="23" t="s">
        <v>60</v>
      </c>
      <c r="LE3" s="24" t="s">
        <v>61</v>
      </c>
      <c r="LF3" s="35" t="s">
        <v>62</v>
      </c>
    </row>
    <row r="4" spans="1:318" x14ac:dyDescent="0.25">
      <c r="A4" s="36" t="s">
        <v>63</v>
      </c>
      <c r="B4" s="37" t="s">
        <v>64</v>
      </c>
      <c r="C4" s="37" t="str">
        <f>INDEX('[1]Property Summary'!AB:AB,MATCH($A4,'[1]Property Summary'!$F:$F,FALSE))</f>
        <v>MAG Fairfield II</v>
      </c>
      <c r="D4" s="38"/>
      <c r="I4" s="39">
        <v>178019</v>
      </c>
      <c r="J4" s="39">
        <f>382076-I4</f>
        <v>204057</v>
      </c>
      <c r="K4" s="39">
        <f>580256-J4-I4</f>
        <v>198180</v>
      </c>
      <c r="L4" s="39">
        <f>916264-K4-J4-I4</f>
        <v>336008</v>
      </c>
      <c r="M4" s="39">
        <v>225307</v>
      </c>
      <c r="N4" s="39">
        <f>470076-M4</f>
        <v>244769</v>
      </c>
      <c r="O4" s="39">
        <f>1000527-N4-M4</f>
        <v>530451</v>
      </c>
      <c r="P4" s="39">
        <f>1311258-O4-N4-M4</f>
        <v>310731</v>
      </c>
      <c r="R4" s="39">
        <v>1058602</v>
      </c>
      <c r="S4" s="39">
        <v>916264.21200000006</v>
      </c>
      <c r="T4" s="39">
        <f>SUM(M4:P4)</f>
        <v>1311258</v>
      </c>
      <c r="V4" s="40">
        <f>SUM(M4:P4)</f>
        <v>1311258</v>
      </c>
      <c r="AA4" s="39">
        <f>-3192</f>
        <v>-3192</v>
      </c>
      <c r="AB4" s="39">
        <f>-5752-AA4</f>
        <v>-2560</v>
      </c>
      <c r="AC4" s="39">
        <f>11544-19145+1856+2258+796</f>
        <v>-2691</v>
      </c>
      <c r="AD4" s="39">
        <f>AK4-AC4-AB4-AA4</f>
        <v>-6814</v>
      </c>
      <c r="AE4" s="39">
        <f>283-8113+5.7+1042+751</f>
        <v>-6031.3</v>
      </c>
      <c r="AF4" s="39">
        <f>1852-14720+1749-AE4</f>
        <v>-5087.7</v>
      </c>
      <c r="AG4" s="39">
        <f>10074-27117+240+3204-AF4-AE4</f>
        <v>-2479.9999999999991</v>
      </c>
      <c r="AH4" s="39">
        <f>11394-37213+301+4472-AG4-AF4-AE4</f>
        <v>-7446.9999999999991</v>
      </c>
      <c r="AJ4" s="39">
        <f>28180.014+9593.004</f>
        <v>37773.017999999996</v>
      </c>
      <c r="AK4" s="39">
        <f>11802-32857+2684+2959+155</f>
        <v>-15257</v>
      </c>
      <c r="AL4" s="39">
        <f>SUM(AE4:AH4)</f>
        <v>-21046</v>
      </c>
      <c r="AN4" s="40">
        <f>SUM(AE4:AH4)</f>
        <v>-21046</v>
      </c>
      <c r="AO4" s="42" t="str">
        <f t="shared" ref="AO4:AZ19" si="0">IFERROR(W4/E4,"")</f>
        <v/>
      </c>
      <c r="AP4" s="43" t="str">
        <f t="shared" si="0"/>
        <v/>
      </c>
      <c r="AQ4" s="43" t="str">
        <f t="shared" si="0"/>
        <v/>
      </c>
      <c r="AR4" s="43" t="str">
        <f t="shared" si="0"/>
        <v/>
      </c>
      <c r="AS4" s="43">
        <f t="shared" si="0"/>
        <v>-1.7930670321707233E-2</v>
      </c>
      <c r="AT4" s="43">
        <f t="shared" si="0"/>
        <v>-1.2545514243569198E-2</v>
      </c>
      <c r="AU4" s="43">
        <f t="shared" si="0"/>
        <v>-1.357856494096276E-2</v>
      </c>
      <c r="AV4" s="43">
        <f t="shared" si="0"/>
        <v>-2.0279279064784172E-2</v>
      </c>
      <c r="AW4" s="43">
        <f t="shared" si="0"/>
        <v>-2.6769252619758818E-2</v>
      </c>
      <c r="AX4" s="43">
        <f t="shared" si="0"/>
        <v>-2.0785720413941309E-2</v>
      </c>
      <c r="AY4" s="43">
        <f t="shared" si="0"/>
        <v>-4.6752668955285202E-3</v>
      </c>
      <c r="AZ4" s="43">
        <f t="shared" si="0"/>
        <v>-2.3966067112711636E-2</v>
      </c>
      <c r="BA4" s="43"/>
      <c r="BB4" s="43">
        <f t="shared" ref="BB4:BD19" si="1">IFERROR(AJ4/R4,"")</f>
        <v>3.5681982463664337E-2</v>
      </c>
      <c r="BC4" s="43">
        <f t="shared" si="1"/>
        <v>-1.6651310615632773E-2</v>
      </c>
      <c r="BD4" s="43">
        <f t="shared" si="1"/>
        <v>-1.605023572782778E-2</v>
      </c>
      <c r="BE4" s="43"/>
      <c r="BF4" s="44">
        <f t="shared" ref="BF4:BF27" si="2">IFERROR(AN4/V4,"")</f>
        <v>-1.605023572782778E-2</v>
      </c>
      <c r="BM4" s="39">
        <v>796</v>
      </c>
      <c r="BN4" s="39">
        <f>154-BM4-BL4-BK4</f>
        <v>-642</v>
      </c>
      <c r="BO4" s="39">
        <v>5.7</v>
      </c>
      <c r="BP4" s="39">
        <v>0</v>
      </c>
      <c r="BQ4" s="39">
        <f>240-BP4-BO4</f>
        <v>234.3</v>
      </c>
      <c r="BR4" s="39">
        <f>301-BQ4-BP4-BO4</f>
        <v>60.999999999999986</v>
      </c>
      <c r="BT4" s="39">
        <v>1528.059</v>
      </c>
      <c r="BU4" s="39">
        <v>154</v>
      </c>
      <c r="BV4" s="39">
        <f>SUM(BO4:BR4)</f>
        <v>301</v>
      </c>
      <c r="BX4" s="40">
        <f>SUM(BO4:BR4)</f>
        <v>301</v>
      </c>
      <c r="CC4" s="39">
        <f>CD4</f>
        <v>3836.75</v>
      </c>
      <c r="CD4" s="39">
        <f>CE4</f>
        <v>3836.75</v>
      </c>
      <c r="CE4" s="39">
        <f>CF4</f>
        <v>3836.75</v>
      </c>
      <c r="CF4" s="39">
        <f>CM4/4</f>
        <v>3836.75</v>
      </c>
      <c r="CG4" s="39">
        <f>2897+1212.519</f>
        <v>4109.5190000000002</v>
      </c>
      <c r="CH4" s="39">
        <f>3313+4934-CG4</f>
        <v>4137.4809999999998</v>
      </c>
      <c r="CI4" s="39">
        <f>6506+8461-CH4-CG4</f>
        <v>6720</v>
      </c>
      <c r="CJ4" s="39">
        <f>8554+10734-CI4-CH4-CG4</f>
        <v>4321</v>
      </c>
      <c r="CL4" s="39">
        <v>14993.995999999999</v>
      </c>
      <c r="CM4" s="39">
        <f>8908+6439</f>
        <v>15347</v>
      </c>
      <c r="CN4" s="39">
        <f>SUM(CG4:CJ4)</f>
        <v>19288</v>
      </c>
      <c r="CP4" s="40">
        <f>SUM(CG4:CJ4)</f>
        <v>19288</v>
      </c>
      <c r="CQ4" s="41" t="str">
        <f t="shared" ref="CQ4:DB19" si="3">IF(W4+BY4=0,"",W4+BY4)</f>
        <v/>
      </c>
      <c r="CR4" s="39" t="str">
        <f t="shared" si="3"/>
        <v/>
      </c>
      <c r="CS4" s="39" t="str">
        <f t="shared" si="3"/>
        <v/>
      </c>
      <c r="CT4" s="39" t="str">
        <f t="shared" si="3"/>
        <v/>
      </c>
      <c r="CU4" s="39">
        <f t="shared" si="3"/>
        <v>644.75</v>
      </c>
      <c r="CV4" s="39">
        <f t="shared" si="3"/>
        <v>1276.75</v>
      </c>
      <c r="CW4" s="39">
        <f t="shared" si="3"/>
        <v>1145.75</v>
      </c>
      <c r="CX4" s="39">
        <f t="shared" si="3"/>
        <v>-2977.25</v>
      </c>
      <c r="CY4" s="39">
        <f t="shared" si="3"/>
        <v>-1921.7809999999999</v>
      </c>
      <c r="CZ4" s="39">
        <f t="shared" si="3"/>
        <v>-950.21900000000005</v>
      </c>
      <c r="DA4" s="39">
        <f t="shared" si="3"/>
        <v>4240.0000000000009</v>
      </c>
      <c r="DB4" s="39">
        <f t="shared" si="3"/>
        <v>-3125.9999999999991</v>
      </c>
      <c r="DD4" s="39">
        <f t="shared" ref="DD4:DF19" si="4">IF(AJ4+CL4=0,"",AJ4+CL4)</f>
        <v>52767.013999999996</v>
      </c>
      <c r="DE4" s="39">
        <f t="shared" si="4"/>
        <v>90</v>
      </c>
      <c r="DF4" s="39">
        <f t="shared" si="4"/>
        <v>-1758</v>
      </c>
      <c r="DH4" s="39">
        <f t="shared" ref="DH4:DH27" si="5">IF(AN4+CP4=0,"",AN4+CP4)</f>
        <v>-1758</v>
      </c>
      <c r="DM4" s="39">
        <f t="shared" ref="DM4:DS5" si="6">CC4*4*8</f>
        <v>122776</v>
      </c>
      <c r="DN4" s="39">
        <f t="shared" si="6"/>
        <v>122776</v>
      </c>
      <c r="DO4" s="39">
        <f t="shared" si="6"/>
        <v>122776</v>
      </c>
      <c r="DP4" s="39">
        <f t="shared" si="6"/>
        <v>122776</v>
      </c>
      <c r="DQ4" s="39">
        <f t="shared" si="6"/>
        <v>131504.60800000001</v>
      </c>
      <c r="DR4" s="39">
        <f t="shared" si="6"/>
        <v>132399.39199999999</v>
      </c>
      <c r="DS4" s="39">
        <f t="shared" si="6"/>
        <v>215040</v>
      </c>
      <c r="DT4" s="39">
        <f>DZ4</f>
        <v>154304</v>
      </c>
      <c r="DV4" s="39">
        <f>CL4*8</f>
        <v>119951.96799999999</v>
      </c>
      <c r="DW4" s="39">
        <f>CM4*8</f>
        <v>122776</v>
      </c>
      <c r="DX4" s="39">
        <f>CN4*8</f>
        <v>154304</v>
      </c>
      <c r="DZ4" s="40">
        <f>DX4</f>
        <v>154304</v>
      </c>
      <c r="EA4" s="45"/>
      <c r="EB4" s="46"/>
      <c r="EC4" s="46"/>
      <c r="ED4" s="46"/>
      <c r="EE4" s="46"/>
      <c r="EF4" s="46"/>
      <c r="EG4" s="46"/>
      <c r="EH4" s="46"/>
      <c r="EI4" s="46"/>
      <c r="EJ4" s="46">
        <f>1429+32253</f>
        <v>33682</v>
      </c>
      <c r="EK4" s="46">
        <f>2144+3000+12131</f>
        <v>17275</v>
      </c>
      <c r="EL4" s="46">
        <f>2144+3000+5307+11645</f>
        <v>22096</v>
      </c>
      <c r="EM4" s="46"/>
      <c r="EN4" s="46">
        <f>5599.026+14235.554+3000+500+18713.296+500+2950</f>
        <v>45497.876000000004</v>
      </c>
      <c r="EO4" s="46">
        <f>1429+32183</f>
        <v>33612</v>
      </c>
      <c r="EP4" s="46">
        <f>EL4</f>
        <v>22096</v>
      </c>
      <c r="EQ4" s="46"/>
      <c r="ER4" s="40">
        <f>EP4</f>
        <v>22096</v>
      </c>
      <c r="ES4" s="45" t="str">
        <f t="shared" ref="ES4:FD19" si="7">IF(DI4+EA4=0,"",DI4+EA4)</f>
        <v/>
      </c>
      <c r="ET4" s="46" t="str">
        <f t="shared" si="7"/>
        <v/>
      </c>
      <c r="EU4" s="46" t="str">
        <f t="shared" si="7"/>
        <v/>
      </c>
      <c r="EV4" s="46" t="str">
        <f t="shared" si="7"/>
        <v/>
      </c>
      <c r="EW4" s="46">
        <f t="shared" si="7"/>
        <v>122776</v>
      </c>
      <c r="EX4" s="46">
        <f t="shared" si="7"/>
        <v>122776</v>
      </c>
      <c r="EY4" s="46">
        <f t="shared" si="7"/>
        <v>122776</v>
      </c>
      <c r="EZ4" s="46">
        <f t="shared" si="7"/>
        <v>122776</v>
      </c>
      <c r="FA4" s="46"/>
      <c r="FB4" s="46">
        <f t="shared" ref="FB4:FD5" si="8">IF(DR4+EJ4=0,"",DR4+EJ4)</f>
        <v>166081.39199999999</v>
      </c>
      <c r="FC4" s="46">
        <f t="shared" si="8"/>
        <v>232315</v>
      </c>
      <c r="FD4" s="46">
        <f t="shared" si="8"/>
        <v>176400</v>
      </c>
      <c r="FE4" s="46"/>
      <c r="FF4" s="46">
        <f t="shared" ref="FF4:FH19" si="9">IF(DV4+EN4=0,"",DV4+EN4)</f>
        <v>165449.84399999998</v>
      </c>
      <c r="FG4" s="46">
        <f t="shared" si="9"/>
        <v>156388</v>
      </c>
      <c r="FH4" s="46">
        <f t="shared" si="9"/>
        <v>176400</v>
      </c>
      <c r="FI4" s="46"/>
      <c r="FJ4" s="46">
        <f t="shared" ref="FJ4:FJ27" si="10">IF(DZ4+ER4=0,"",DZ4+ER4)</f>
        <v>176400</v>
      </c>
      <c r="FK4" s="45"/>
      <c r="FL4" s="46"/>
      <c r="FM4" s="46"/>
      <c r="FN4" s="46"/>
      <c r="FO4" s="46"/>
      <c r="FP4" s="46"/>
      <c r="FQ4" s="46"/>
      <c r="FR4" s="46"/>
      <c r="FS4" s="46"/>
      <c r="FT4" s="46">
        <v>12256</v>
      </c>
      <c r="FU4" s="46">
        <v>4944</v>
      </c>
      <c r="FV4" s="46">
        <v>22085</v>
      </c>
      <c r="FW4" s="46"/>
      <c r="FX4" s="46">
        <v>30044.545999999998</v>
      </c>
      <c r="FY4" s="46">
        <v>19171</v>
      </c>
      <c r="FZ4" s="46">
        <f>FV4</f>
        <v>22085</v>
      </c>
      <c r="GA4" s="46"/>
      <c r="GB4" s="40">
        <f>FV4</f>
        <v>22085</v>
      </c>
      <c r="GC4" s="45"/>
      <c r="GD4" s="46"/>
      <c r="GE4" s="46"/>
      <c r="GF4" s="46"/>
      <c r="GG4" s="46"/>
      <c r="GH4" s="46"/>
      <c r="GI4" s="46"/>
      <c r="GJ4" s="46"/>
      <c r="GK4" s="46">
        <v>50006</v>
      </c>
      <c r="GL4" s="46">
        <v>22146</v>
      </c>
      <c r="GM4" s="46">
        <v>-23272</v>
      </c>
      <c r="GN4" s="46">
        <v>-22700</v>
      </c>
      <c r="GO4" s="46"/>
      <c r="GP4" s="46">
        <v>-445.113</v>
      </c>
      <c r="GQ4" s="46">
        <v>24715</v>
      </c>
      <c r="GR4" s="46">
        <f>SUM(GK4:GN4)</f>
        <v>26180</v>
      </c>
      <c r="GS4" s="46"/>
      <c r="GT4" s="40">
        <f>SUM(GK4:GN4)</f>
        <v>26180</v>
      </c>
      <c r="GU4" s="45"/>
      <c r="GV4" s="46"/>
      <c r="GW4" s="46"/>
      <c r="GX4" s="46"/>
      <c r="GY4" s="46"/>
      <c r="GZ4" s="46"/>
      <c r="HA4" s="46"/>
      <c r="HB4" s="46"/>
      <c r="HC4" s="46">
        <v>9878</v>
      </c>
      <c r="HD4" s="46">
        <v>445</v>
      </c>
      <c r="HE4" s="46">
        <v>15125</v>
      </c>
      <c r="HF4" s="46">
        <v>729</v>
      </c>
      <c r="HG4" s="46"/>
      <c r="HH4" s="46">
        <v>17247.215</v>
      </c>
      <c r="HI4" s="46">
        <v>7299</v>
      </c>
      <c r="HJ4" s="46">
        <f>SUM(HC4:HF4)</f>
        <v>26177</v>
      </c>
      <c r="HK4" s="46"/>
      <c r="HL4" s="40">
        <f>SUM(HC4:HF4)</f>
        <v>26177</v>
      </c>
      <c r="HM4" s="45" t="str">
        <f t="shared" ref="HM4:HX19" si="11">IF(GC4-GU4=0,"",GC4-GU4)</f>
        <v/>
      </c>
      <c r="HN4" s="46" t="str">
        <f t="shared" si="11"/>
        <v/>
      </c>
      <c r="HO4" s="46" t="str">
        <f t="shared" si="11"/>
        <v/>
      </c>
      <c r="HP4" s="46" t="str">
        <f t="shared" si="11"/>
        <v/>
      </c>
      <c r="HQ4" s="46" t="str">
        <f t="shared" si="11"/>
        <v/>
      </c>
      <c r="HR4" s="46" t="str">
        <f t="shared" si="11"/>
        <v/>
      </c>
      <c r="HS4" s="46" t="str">
        <f t="shared" si="11"/>
        <v/>
      </c>
      <c r="HT4" s="46" t="str">
        <f t="shared" si="11"/>
        <v/>
      </c>
      <c r="HU4" s="46">
        <f t="shared" si="11"/>
        <v>40128</v>
      </c>
      <c r="HV4" s="46">
        <f t="shared" si="11"/>
        <v>21701</v>
      </c>
      <c r="HW4" s="46">
        <f t="shared" si="11"/>
        <v>-38397</v>
      </c>
      <c r="HX4" s="46">
        <f t="shared" si="11"/>
        <v>-23429</v>
      </c>
      <c r="HY4" s="46"/>
      <c r="HZ4" s="46">
        <f t="shared" ref="HZ4:IB19" si="12">IF(GP4-HH4=0,"",GP4-HH4)</f>
        <v>-17692.328000000001</v>
      </c>
      <c r="IA4" s="46">
        <f t="shared" si="12"/>
        <v>17416</v>
      </c>
      <c r="IB4" s="46">
        <f t="shared" si="12"/>
        <v>3</v>
      </c>
      <c r="IC4" s="46"/>
      <c r="ID4" s="46">
        <f t="shared" ref="ID4:ID27" si="13">IF(GT4-HL4=0,"",GT4-HL4)</f>
        <v>3</v>
      </c>
      <c r="IE4" s="47" t="str">
        <f t="shared" ref="IE4:IP19" si="14">IFERROR(CQ4/(BG4+BY4),"")</f>
        <v/>
      </c>
      <c r="IF4" s="48" t="str">
        <f t="shared" si="14"/>
        <v/>
      </c>
      <c r="IG4" s="48" t="str">
        <f t="shared" si="14"/>
        <v/>
      </c>
      <c r="IH4" s="48" t="str">
        <f t="shared" si="14"/>
        <v/>
      </c>
      <c r="II4" s="48">
        <f t="shared" si="14"/>
        <v>0.16804587215742489</v>
      </c>
      <c r="IJ4" s="48">
        <f t="shared" si="14"/>
        <v>0.33276861927412521</v>
      </c>
      <c r="IK4" s="48">
        <f t="shared" si="14"/>
        <v>0.24731530948140953</v>
      </c>
      <c r="IL4" s="48">
        <f t="shared" si="14"/>
        <v>-0.93191955552077632</v>
      </c>
      <c r="IM4" s="48">
        <f t="shared" si="14"/>
        <v>-0.46699361564961667</v>
      </c>
      <c r="IN4" s="48">
        <f t="shared" si="14"/>
        <v>-0.22966123590658183</v>
      </c>
      <c r="IO4" s="48">
        <f t="shared" si="14"/>
        <v>0.60969472125159985</v>
      </c>
      <c r="IP4" s="48">
        <f t="shared" si="14"/>
        <v>-0.71337288909173868</v>
      </c>
      <c r="IQ4" s="48"/>
      <c r="IR4" s="48">
        <f t="shared" ref="IR4:IT19" si="15">IFERROR(DD4/(BT4+CL4),"")</f>
        <v>3.1937318935205092</v>
      </c>
      <c r="IS4" s="48">
        <f t="shared" si="15"/>
        <v>5.8060770272885618E-3</v>
      </c>
      <c r="IT4" s="48">
        <f t="shared" si="15"/>
        <v>-8.9744244218694161E-2</v>
      </c>
      <c r="IU4" s="48"/>
      <c r="IV4" s="48">
        <f t="shared" ref="IV4:IV27" si="16">IFERROR(DH4/(BX4+CP4),"")</f>
        <v>-8.9744244218694161E-2</v>
      </c>
      <c r="IW4" s="47" t="str">
        <f t="shared" ref="IW4:JH27" si="17">IFERROR(EA4/(W4*4),"")</f>
        <v/>
      </c>
      <c r="IX4" s="48" t="str">
        <f t="shared" si="17"/>
        <v/>
      </c>
      <c r="IY4" s="48" t="str">
        <f t="shared" si="17"/>
        <v/>
      </c>
      <c r="IZ4" s="48" t="str">
        <f t="shared" si="17"/>
        <v/>
      </c>
      <c r="JA4" s="48">
        <f t="shared" si="17"/>
        <v>0</v>
      </c>
      <c r="JB4" s="48">
        <f t="shared" si="17"/>
        <v>0</v>
      </c>
      <c r="JC4" s="48">
        <f t="shared" si="17"/>
        <v>0</v>
      </c>
      <c r="JD4" s="48">
        <f t="shared" si="17"/>
        <v>0</v>
      </c>
      <c r="JE4" s="48">
        <f t="shared" si="17"/>
        <v>0</v>
      </c>
      <c r="JF4" s="48">
        <f t="shared" si="17"/>
        <v>-1.6550700709554416</v>
      </c>
      <c r="JG4" s="48">
        <f t="shared" si="17"/>
        <v>-1.7414314516129039</v>
      </c>
      <c r="JH4" s="48">
        <f t="shared" si="17"/>
        <v>-0.7417752114945616</v>
      </c>
      <c r="JI4" s="48"/>
      <c r="JJ4" s="48">
        <f t="shared" ref="JJ4:JL27" si="18">IFERROR(EN4/(AJ4),"")</f>
        <v>1.2045073020111872</v>
      </c>
      <c r="JK4" s="48">
        <f t="shared" si="18"/>
        <v>-2.2030543357147541</v>
      </c>
      <c r="JL4" s="48">
        <f t="shared" si="18"/>
        <v>-1.0498907155754063</v>
      </c>
      <c r="JM4" s="48"/>
      <c r="JN4" s="48">
        <f t="shared" ref="JN4:JN27" si="19">IFERROR(ER4/(AN4),"")</f>
        <v>-1.0498907155754063</v>
      </c>
      <c r="JO4" s="47" t="str">
        <f t="shared" ref="JO4:JZ19" si="20">IFERROR(ES4/(CQ4*4),"")</f>
        <v/>
      </c>
      <c r="JP4" s="48" t="str">
        <f t="shared" si="20"/>
        <v/>
      </c>
      <c r="JQ4" s="48" t="str">
        <f t="shared" si="20"/>
        <v/>
      </c>
      <c r="JR4" s="48" t="str">
        <f t="shared" si="20"/>
        <v/>
      </c>
      <c r="JS4" s="48">
        <f t="shared" si="20"/>
        <v>47.60604885614579</v>
      </c>
      <c r="JT4" s="48">
        <f t="shared" si="20"/>
        <v>24.040728411983551</v>
      </c>
      <c r="JU4" s="48">
        <f t="shared" si="20"/>
        <v>26.78943923194414</v>
      </c>
      <c r="JV4" s="48"/>
      <c r="JW4" s="48"/>
      <c r="JX4" s="48">
        <f t="shared" ref="JX4:JZ5" si="21">IFERROR(FB4/(CZ4*4),"")</f>
        <v>-43.695556498028346</v>
      </c>
      <c r="JY4" s="48">
        <f t="shared" si="21"/>
        <v>13.697818396226412</v>
      </c>
      <c r="JZ4" s="48">
        <f t="shared" si="21"/>
        <v>-14.107485604606531</v>
      </c>
      <c r="KA4" s="48"/>
      <c r="KB4" s="48">
        <f t="shared" ref="KB4:KD16" si="22">IFERROR(FF4/(DD4),"")</f>
        <v>3.1354786154850451</v>
      </c>
      <c r="KC4" s="48">
        <f t="shared" si="22"/>
        <v>1737.6444444444444</v>
      </c>
      <c r="KD4" s="48">
        <f t="shared" si="22"/>
        <v>-100.34129692832765</v>
      </c>
      <c r="KE4" s="48"/>
      <c r="KF4" s="48">
        <f t="shared" ref="KF4:KF27" si="23">IFERROR(FJ4/(DH4),"")</f>
        <v>-100.34129692832765</v>
      </c>
      <c r="KG4" s="49">
        <f t="shared" ref="KG4:KG27" si="24">IF(IF(IF(V4="",S4,V4)="",R4,(IF(V4="",S4,V4)))=0,"",(IF(IF(V4="",S4,V4)="",R4,(IF(V4="",S4,V4)))))</f>
        <v>1311258</v>
      </c>
      <c r="KH4" s="50">
        <f>KG4/S4-1</f>
        <v>0.43109158125669533</v>
      </c>
      <c r="KI4" s="49">
        <f t="shared" ref="KI4:KI27" si="25">IF(IF(IF(AN4="",AK4,AN4)="",AJ4,(IF(AN4="",AK4,AN4)))=0,"",(IF(IF(AN4="",AK4,AN4)="",AJ4,(IF(AN4="",AK4,AN4)))))</f>
        <v>-21046</v>
      </c>
      <c r="KJ4" s="50">
        <f>KI4/AK4-1</f>
        <v>0.37943239168906073</v>
      </c>
      <c r="KK4" s="51">
        <f t="shared" ref="KK4:KK27" si="26">IF(IF(IF(BF4="",BC4,BF4)="",BB4,(IF(BF4="",BC4,BF4)))=0,"",(IF(IF(BF4="",BC4,BF4)="",BB4,(IF(BF4="",BC4,BF4)))))</f>
        <v>-1.605023572782778E-2</v>
      </c>
      <c r="KL4" s="52">
        <f t="shared" ref="KL4:KL27" si="27">IF(IF(IF(FJ4="",FG4,FJ4)="",FF4,(IF(FJ4="",FG4,FJ4)))=0,"",(IF(IF(FJ4="",FG4,FJ4)="",FF4,(IF(FJ4="",FG4,FJ4)))))</f>
        <v>176400</v>
      </c>
      <c r="KM4" s="52">
        <f t="shared" ref="KM4:KM27" si="28">IF(IF(IF(GB4="",FY4,GB4)="",FX4,(IF(GB4="",FY4,GB4)))=0,"",(IF(IF(GB4="",FY4,GB4)="",FX4,(IF(GB4="",FY4,GB4)))))</f>
        <v>22085</v>
      </c>
      <c r="KN4" s="52">
        <f t="shared" ref="KN4:KN27" si="29">IF(IF(IF(GT4="",GQ4,GT4)="",GP4,(IF(GT4="",GQ4,GT4)))=0,"",(IF(IF(GT4="",GQ4,GT4)="",GP4,(IF(GT4="",GQ4,GT4)))))</f>
        <v>26180</v>
      </c>
      <c r="KO4" s="53">
        <f t="shared" ref="KO4:KO27" si="30">IF(IF(IF(IV4="",IS4,IV4)="",IR4,(IF(IV4="",IS4,IV4)))=0,"",(IF(IF(IV4="",IS4,IV4)="",IR4,(IF(IV4="",IS4,IV4)))))</f>
        <v>-8.9744244218694161E-2</v>
      </c>
      <c r="KP4" s="54">
        <f>IS4</f>
        <v>5.8060770272885618E-3</v>
      </c>
      <c r="KQ4" s="53">
        <f t="shared" ref="KQ4:KQ19" si="31">IF(IF(IF(JN4="",JK4,JN4)="",JJ4,(IF(JN4="",JK4,JN4)))=0,"",(IF(IF(JN4="",JK4,JN4)="",JJ4,(IF(JN4="",JK4,JN4)))))</f>
        <v>-1.0498907155754063</v>
      </c>
      <c r="KR4" s="54">
        <f>JK4</f>
        <v>-2.2030543357147541</v>
      </c>
      <c r="KS4" s="53">
        <f t="shared" ref="KS4:KS27" si="32">IF(IF(IF(KF4="",KC4,KF4)="",KB4,(IF(KF4="",KC4,KF4)))=0,"",(IF(IF(KF4="",KC4,KF4)="",KB4,(IF(KF4="",KC4,KF4)))))</f>
        <v>-100.34129692832765</v>
      </c>
      <c r="KT4" s="54">
        <f>KC4</f>
        <v>1737.6444444444444</v>
      </c>
      <c r="KU4" s="55" t="s">
        <v>65</v>
      </c>
      <c r="KV4" s="56">
        <v>3</v>
      </c>
      <c r="KW4" s="37" t="s">
        <v>66</v>
      </c>
      <c r="KY4" s="37" t="s">
        <v>67</v>
      </c>
      <c r="KZ4" s="37" t="s">
        <v>68</v>
      </c>
      <c r="LA4" s="37" t="s">
        <v>69</v>
      </c>
      <c r="LB4" s="57" t="s">
        <v>70</v>
      </c>
      <c r="LD4" s="58" t="s">
        <v>71</v>
      </c>
      <c r="LE4" s="12"/>
      <c r="LF4" s="59" t="s">
        <v>72</v>
      </c>
    </row>
    <row r="5" spans="1:318" x14ac:dyDescent="0.25">
      <c r="A5" s="36" t="s">
        <v>73</v>
      </c>
      <c r="B5" s="37" t="s">
        <v>74</v>
      </c>
      <c r="C5" s="37" t="str">
        <f>INDEX('[1]Property Summary'!AB:AB,MATCH($A5,'[1]Property Summary'!$F:$F,FALSE))</f>
        <v>SW Portfolio</v>
      </c>
      <c r="D5" s="38"/>
      <c r="H5" s="39">
        <f>754+659+635</f>
        <v>2048</v>
      </c>
      <c r="I5" s="39">
        <v>2289</v>
      </c>
      <c r="J5" s="39">
        <v>1804</v>
      </c>
      <c r="K5" s="39">
        <v>2207</v>
      </c>
      <c r="L5" s="39">
        <v>2020.7380000000001</v>
      </c>
      <c r="M5" s="39">
        <f>760+707+699</f>
        <v>2166</v>
      </c>
      <c r="N5" s="39">
        <f>557+586+889</f>
        <v>2032</v>
      </c>
      <c r="O5" s="39">
        <f>553+579+563</f>
        <v>1695</v>
      </c>
      <c r="P5" s="39">
        <f>446+466+528</f>
        <v>1440</v>
      </c>
      <c r="R5" s="39">
        <v>9285</v>
      </c>
      <c r="S5" s="39">
        <f>SUM(I5:L5)</f>
        <v>8320.7379999999994</v>
      </c>
      <c r="T5" s="39">
        <f>SUM(M5:P5)</f>
        <v>7333</v>
      </c>
      <c r="V5" s="40">
        <f>SUM(M5:P5)</f>
        <v>7333</v>
      </c>
      <c r="Z5" s="39">
        <f>317+224+152+17+17+18</f>
        <v>745</v>
      </c>
      <c r="AA5" s="39">
        <f>868+52+6</f>
        <v>926</v>
      </c>
      <c r="AB5" s="39">
        <f>442+52</f>
        <v>494</v>
      </c>
      <c r="AC5" s="39">
        <f>852+1+52</f>
        <v>905</v>
      </c>
      <c r="AD5" s="39">
        <f>687.8+4+52+1</f>
        <v>744.8</v>
      </c>
      <c r="AE5" s="39">
        <v>653.93100000000004</v>
      </c>
      <c r="AF5" s="39">
        <v>900.84199999999998</v>
      </c>
      <c r="AG5" s="39">
        <v>227.91499999999999</v>
      </c>
      <c r="AH5" s="39">
        <v>-48.011000000000003</v>
      </c>
      <c r="AJ5" s="39">
        <f>3843+208</f>
        <v>4051</v>
      </c>
      <c r="AK5" s="39">
        <f>SUM(AA5:AD5)</f>
        <v>3069.8</v>
      </c>
      <c r="AL5" s="39">
        <f>SUM(AE5:AH5)</f>
        <v>1734.6770000000001</v>
      </c>
      <c r="AN5" s="40">
        <f>AL5</f>
        <v>1734.6770000000001</v>
      </c>
      <c r="AO5" s="42" t="str">
        <f t="shared" si="0"/>
        <v/>
      </c>
      <c r="AP5" s="43" t="str">
        <f t="shared" si="0"/>
        <v/>
      </c>
      <c r="AQ5" s="43" t="str">
        <f t="shared" si="0"/>
        <v/>
      </c>
      <c r="AR5" s="43">
        <f t="shared" si="0"/>
        <v>0.36376953125</v>
      </c>
      <c r="AS5" s="43">
        <f t="shared" si="0"/>
        <v>0.40454346876365227</v>
      </c>
      <c r="AT5" s="43">
        <f t="shared" si="0"/>
        <v>0.27383592017738362</v>
      </c>
      <c r="AU5" s="43">
        <f t="shared" si="0"/>
        <v>0.41005890348889895</v>
      </c>
      <c r="AV5" s="43">
        <f t="shared" si="0"/>
        <v>0.36857821251443779</v>
      </c>
      <c r="AW5" s="43">
        <f t="shared" si="0"/>
        <v>0.30190720221606648</v>
      </c>
      <c r="AX5" s="43">
        <f t="shared" si="0"/>
        <v>0.44332775590551182</v>
      </c>
      <c r="AY5" s="43">
        <f t="shared" si="0"/>
        <v>0.1344631268436578</v>
      </c>
      <c r="AZ5" s="43">
        <f t="shared" si="0"/>
        <v>-3.3340972222222223E-2</v>
      </c>
      <c r="BA5" s="43"/>
      <c r="BB5" s="43">
        <f t="shared" si="1"/>
        <v>0.43629509962304791</v>
      </c>
      <c r="BC5" s="43">
        <f t="shared" si="1"/>
        <v>0.36893362103217292</v>
      </c>
      <c r="BD5" s="43">
        <f t="shared" si="1"/>
        <v>0.23655761625528435</v>
      </c>
      <c r="BE5" s="43"/>
      <c r="BF5" s="44">
        <f t="shared" si="2"/>
        <v>0.23655761625528435</v>
      </c>
      <c r="BJ5" s="39">
        <f>(0.1*ED5)/4</f>
        <v>57.5</v>
      </c>
      <c r="BK5" s="39">
        <f>(0.1*EE5)/4</f>
        <v>57.5</v>
      </c>
      <c r="BL5" s="39">
        <f>(0.1*EF5)/4</f>
        <v>57.5</v>
      </c>
      <c r="BM5" s="39">
        <f>(0.1*EG5)/4</f>
        <v>57.5</v>
      </c>
      <c r="BN5" s="39">
        <f>(0.1*EH5)/4</f>
        <v>57.5</v>
      </c>
      <c r="BO5" s="39">
        <v>1.4</v>
      </c>
      <c r="BP5" s="39">
        <v>1.4</v>
      </c>
      <c r="BQ5" s="39">
        <v>1.4</v>
      </c>
      <c r="BR5" s="39">
        <v>1.4</v>
      </c>
      <c r="BT5" s="39">
        <f>0.1*EN5</f>
        <v>230</v>
      </c>
      <c r="BU5" s="39">
        <f>SUM(BK5:BN5)</f>
        <v>230</v>
      </c>
      <c r="BV5" s="39">
        <f>SUM(BO5:BR5)</f>
        <v>5.6</v>
      </c>
      <c r="BX5" s="40">
        <f>BV5</f>
        <v>5.6</v>
      </c>
      <c r="CB5" s="39">
        <f>72*3</f>
        <v>216</v>
      </c>
      <c r="CC5" s="39">
        <v>215</v>
      </c>
      <c r="CD5" s="39">
        <v>207</v>
      </c>
      <c r="CE5" s="39">
        <v>209</v>
      </c>
      <c r="CF5" s="39">
        <v>211.16499999999999</v>
      </c>
      <c r="CG5" s="39">
        <v>211.464</v>
      </c>
      <c r="CH5" s="39">
        <v>211.464</v>
      </c>
      <c r="CI5" s="39">
        <v>232.821</v>
      </c>
      <c r="CJ5" s="39">
        <v>257.86799999999999</v>
      </c>
      <c r="CL5" s="39">
        <v>813.3</v>
      </c>
      <c r="CM5" s="39">
        <f>SUM(CC5:CF5)</f>
        <v>842.16499999999996</v>
      </c>
      <c r="CN5" s="39">
        <v>914</v>
      </c>
      <c r="CP5" s="40">
        <f>CN5</f>
        <v>914</v>
      </c>
      <c r="CQ5" s="41" t="str">
        <f t="shared" si="3"/>
        <v/>
      </c>
      <c r="CR5" s="39" t="str">
        <f t="shared" si="3"/>
        <v/>
      </c>
      <c r="CS5" s="39" t="str">
        <f t="shared" si="3"/>
        <v/>
      </c>
      <c r="CT5" s="39">
        <f t="shared" si="3"/>
        <v>961</v>
      </c>
      <c r="CU5" s="39">
        <f t="shared" si="3"/>
        <v>1141</v>
      </c>
      <c r="CV5" s="39">
        <f t="shared" si="3"/>
        <v>701</v>
      </c>
      <c r="CW5" s="39">
        <f t="shared" si="3"/>
        <v>1114</v>
      </c>
      <c r="CX5" s="39">
        <f t="shared" si="3"/>
        <v>955.96499999999992</v>
      </c>
      <c r="CY5" s="39">
        <f t="shared" si="3"/>
        <v>865.39499999999998</v>
      </c>
      <c r="CZ5" s="39">
        <f t="shared" si="3"/>
        <v>1112.306</v>
      </c>
      <c r="DA5" s="39">
        <f t="shared" si="3"/>
        <v>460.73599999999999</v>
      </c>
      <c r="DB5" s="39">
        <f t="shared" si="3"/>
        <v>209.857</v>
      </c>
      <c r="DD5" s="39">
        <f t="shared" si="4"/>
        <v>4864.3</v>
      </c>
      <c r="DE5" s="39">
        <f t="shared" si="4"/>
        <v>3911.9650000000001</v>
      </c>
      <c r="DF5" s="39">
        <f t="shared" si="4"/>
        <v>2648.6770000000001</v>
      </c>
      <c r="DH5" s="39">
        <f t="shared" si="5"/>
        <v>2648.6770000000001</v>
      </c>
      <c r="DL5" s="39">
        <f>CB5*4*8</f>
        <v>6912</v>
      </c>
      <c r="DM5" s="39">
        <f t="shared" si="6"/>
        <v>6880</v>
      </c>
      <c r="DN5" s="39">
        <f t="shared" si="6"/>
        <v>6624</v>
      </c>
      <c r="DO5" s="39">
        <f t="shared" si="6"/>
        <v>6688</v>
      </c>
      <c r="DP5" s="39">
        <f t="shared" si="6"/>
        <v>6757.28</v>
      </c>
      <c r="DQ5" s="39">
        <f t="shared" si="6"/>
        <v>6766.848</v>
      </c>
      <c r="DR5" s="39">
        <f t="shared" si="6"/>
        <v>6766.848</v>
      </c>
      <c r="DS5" s="39">
        <f t="shared" si="6"/>
        <v>7450.2719999999999</v>
      </c>
      <c r="DT5" s="39">
        <f>DX5</f>
        <v>7312</v>
      </c>
      <c r="DV5" s="39">
        <f>CL5*8</f>
        <v>6506.4</v>
      </c>
      <c r="DW5" s="39">
        <f>DP5</f>
        <v>6757.28</v>
      </c>
      <c r="DX5" s="39">
        <f>CN5*8</f>
        <v>7312</v>
      </c>
      <c r="DZ5" s="40">
        <f>DX5</f>
        <v>7312</v>
      </c>
      <c r="EA5" s="45"/>
      <c r="EB5" s="46"/>
      <c r="EC5" s="46"/>
      <c r="ED5" s="46">
        <f>EE5</f>
        <v>2300</v>
      </c>
      <c r="EE5" s="46">
        <v>2300</v>
      </c>
      <c r="EF5" s="46">
        <v>2300</v>
      </c>
      <c r="EG5" s="46">
        <v>2300</v>
      </c>
      <c r="EH5" s="46">
        <v>2300</v>
      </c>
      <c r="EI5" s="46">
        <f>104+4580+707</f>
        <v>5391</v>
      </c>
      <c r="EJ5" s="46">
        <f>99+4580+707</f>
        <v>5386</v>
      </c>
      <c r="EK5" s="46">
        <f>93+4580+707</f>
        <v>5380</v>
      </c>
      <c r="EL5" s="46">
        <f>EP5</f>
        <v>5375</v>
      </c>
      <c r="EM5" s="46"/>
      <c r="EN5" s="46">
        <f>2225+75</f>
        <v>2300</v>
      </c>
      <c r="EO5" s="46">
        <f>EH5</f>
        <v>2300</v>
      </c>
      <c r="EP5" s="46">
        <f>88+4579.6+707.4</f>
        <v>5375</v>
      </c>
      <c r="EQ5" s="46"/>
      <c r="ER5" s="40">
        <f>EP5</f>
        <v>5375</v>
      </c>
      <c r="ES5" s="45" t="str">
        <f t="shared" si="7"/>
        <v/>
      </c>
      <c r="ET5" s="46" t="str">
        <f t="shared" si="7"/>
        <v/>
      </c>
      <c r="EU5" s="46" t="str">
        <f t="shared" si="7"/>
        <v/>
      </c>
      <c r="EV5" s="46">
        <f t="shared" si="7"/>
        <v>9212</v>
      </c>
      <c r="EW5" s="46">
        <f t="shared" si="7"/>
        <v>9180</v>
      </c>
      <c r="EX5" s="46">
        <f t="shared" si="7"/>
        <v>8924</v>
      </c>
      <c r="EY5" s="46">
        <f t="shared" si="7"/>
        <v>8988</v>
      </c>
      <c r="EZ5" s="46">
        <f t="shared" si="7"/>
        <v>9057.2799999999988</v>
      </c>
      <c r="FA5" s="46">
        <f>IF(DQ5+EI5=0,"",DQ5+EI5)</f>
        <v>12157.848</v>
      </c>
      <c r="FB5" s="46">
        <f t="shared" si="8"/>
        <v>12152.848</v>
      </c>
      <c r="FC5" s="46">
        <f t="shared" si="8"/>
        <v>12830.272000000001</v>
      </c>
      <c r="FD5" s="46">
        <f t="shared" si="8"/>
        <v>12687</v>
      </c>
      <c r="FE5" s="46"/>
      <c r="FF5" s="46">
        <f t="shared" si="9"/>
        <v>8806.4</v>
      </c>
      <c r="FG5" s="46">
        <f t="shared" si="9"/>
        <v>9057.2799999999988</v>
      </c>
      <c r="FH5" s="46">
        <f t="shared" si="9"/>
        <v>12687</v>
      </c>
      <c r="FI5" s="46"/>
      <c r="FJ5" s="46">
        <f t="shared" si="10"/>
        <v>12687</v>
      </c>
      <c r="FK5" s="45"/>
      <c r="FL5" s="46"/>
      <c r="FM5" s="46"/>
      <c r="FN5" s="46"/>
      <c r="FO5" s="46">
        <v>9.8000000000000007</v>
      </c>
      <c r="FP5" s="46">
        <v>660</v>
      </c>
      <c r="FQ5" s="46">
        <v>551</v>
      </c>
      <c r="FR5" s="46">
        <v>239.75</v>
      </c>
      <c r="FS5" s="46">
        <v>39</v>
      </c>
      <c r="FT5" s="46">
        <v>7</v>
      </c>
      <c r="FU5" s="46">
        <v>109</v>
      </c>
      <c r="FV5" s="46">
        <v>142</v>
      </c>
      <c r="FW5" s="46"/>
      <c r="FX5" s="46">
        <f>7</f>
        <v>7</v>
      </c>
      <c r="FY5" s="46">
        <f>FR5</f>
        <v>239.75</v>
      </c>
      <c r="FZ5" s="46">
        <f>142</f>
        <v>142</v>
      </c>
      <c r="GA5" s="46"/>
      <c r="GB5" s="40">
        <f>FZ5</f>
        <v>142</v>
      </c>
      <c r="GC5" s="45"/>
      <c r="GD5" s="46"/>
      <c r="GE5" s="46"/>
      <c r="GF5" s="46"/>
      <c r="GG5" s="46">
        <v>3</v>
      </c>
      <c r="GH5" s="46">
        <v>650</v>
      </c>
      <c r="GI5" s="46">
        <v>-53</v>
      </c>
      <c r="GJ5" s="46"/>
      <c r="GK5" s="46"/>
      <c r="GL5" s="46"/>
      <c r="GM5" s="46"/>
      <c r="GN5" s="46"/>
      <c r="GO5" s="46"/>
      <c r="GP5" s="46">
        <v>1048</v>
      </c>
      <c r="GQ5" s="46"/>
      <c r="GR5" s="46"/>
      <c r="GS5" s="46"/>
      <c r="GT5" s="40"/>
      <c r="GU5" s="45"/>
      <c r="GV5" s="46"/>
      <c r="GW5" s="46"/>
      <c r="GX5" s="46">
        <f>GY5</f>
        <v>56</v>
      </c>
      <c r="GY5" s="46">
        <f>GZ5</f>
        <v>56</v>
      </c>
      <c r="GZ5" s="46">
        <f>HA5</f>
        <v>56</v>
      </c>
      <c r="HA5" s="46">
        <f>25+31</f>
        <v>56</v>
      </c>
      <c r="HB5" s="46"/>
      <c r="HC5" s="46"/>
      <c r="HD5" s="46"/>
      <c r="HE5" s="46"/>
      <c r="HF5" s="46"/>
      <c r="HG5" s="46"/>
      <c r="HH5" s="46">
        <f>262+1+11+59</f>
        <v>333</v>
      </c>
      <c r="HI5" s="46"/>
      <c r="HJ5" s="46"/>
      <c r="HK5" s="46"/>
      <c r="HL5" s="40"/>
      <c r="HM5" s="45" t="str">
        <f t="shared" si="11"/>
        <v/>
      </c>
      <c r="HN5" s="46" t="str">
        <f t="shared" si="11"/>
        <v/>
      </c>
      <c r="HO5" s="46" t="str">
        <f t="shared" si="11"/>
        <v/>
      </c>
      <c r="HP5" s="46">
        <f t="shared" si="11"/>
        <v>-56</v>
      </c>
      <c r="HQ5" s="46">
        <f t="shared" si="11"/>
        <v>-53</v>
      </c>
      <c r="HR5" s="46">
        <f t="shared" si="11"/>
        <v>594</v>
      </c>
      <c r="HS5" s="46">
        <f t="shared" si="11"/>
        <v>-109</v>
      </c>
      <c r="HT5" s="46" t="str">
        <f t="shared" si="11"/>
        <v/>
      </c>
      <c r="HU5" s="46" t="str">
        <f t="shared" si="11"/>
        <v/>
      </c>
      <c r="HV5" s="46" t="str">
        <f t="shared" si="11"/>
        <v/>
      </c>
      <c r="HW5" s="46" t="str">
        <f t="shared" si="11"/>
        <v/>
      </c>
      <c r="HX5" s="46" t="str">
        <f t="shared" si="11"/>
        <v/>
      </c>
      <c r="HY5" s="46"/>
      <c r="HZ5" s="46">
        <f t="shared" si="12"/>
        <v>715</v>
      </c>
      <c r="IA5" s="46" t="str">
        <f t="shared" si="12"/>
        <v/>
      </c>
      <c r="IB5" s="46" t="str">
        <f t="shared" si="12"/>
        <v/>
      </c>
      <c r="IC5" s="46"/>
      <c r="ID5" s="46" t="str">
        <f t="shared" si="13"/>
        <v/>
      </c>
      <c r="IE5" s="47" t="str">
        <f t="shared" si="14"/>
        <v/>
      </c>
      <c r="IF5" s="48" t="str">
        <f t="shared" si="14"/>
        <v/>
      </c>
      <c r="IG5" s="48" t="str">
        <f t="shared" si="14"/>
        <v/>
      </c>
      <c r="IH5" s="48">
        <f t="shared" si="14"/>
        <v>3.5137111517367461</v>
      </c>
      <c r="II5" s="48">
        <f t="shared" si="14"/>
        <v>4.187155963302752</v>
      </c>
      <c r="IJ5" s="48">
        <f t="shared" si="14"/>
        <v>2.6502835538752363</v>
      </c>
      <c r="IK5" s="48">
        <f t="shared" si="14"/>
        <v>4.1801125703564725</v>
      </c>
      <c r="IL5" s="48">
        <f t="shared" si="14"/>
        <v>3.5582044553626266</v>
      </c>
      <c r="IM5" s="48">
        <f t="shared" si="14"/>
        <v>4.0654831253758266</v>
      </c>
      <c r="IN5" s="48">
        <f t="shared" si="14"/>
        <v>5.2254303217077576</v>
      </c>
      <c r="IO5" s="48">
        <f t="shared" si="14"/>
        <v>1.9670994488111655</v>
      </c>
      <c r="IP5" s="48">
        <f t="shared" si="14"/>
        <v>0.8094211395158678</v>
      </c>
      <c r="IQ5" s="48"/>
      <c r="IR5" s="48">
        <f t="shared" si="15"/>
        <v>4.6624173296271447</v>
      </c>
      <c r="IS5" s="48">
        <f t="shared" si="15"/>
        <v>3.648659488045217</v>
      </c>
      <c r="IT5" s="48">
        <f t="shared" si="15"/>
        <v>2.8802490213136145</v>
      </c>
      <c r="IU5" s="48"/>
      <c r="IV5" s="48">
        <f t="shared" si="16"/>
        <v>2.8802490213136145</v>
      </c>
      <c r="IW5" s="47" t="str">
        <f t="shared" si="17"/>
        <v/>
      </c>
      <c r="IX5" s="48" t="str">
        <f t="shared" si="17"/>
        <v/>
      </c>
      <c r="IY5" s="48" t="str">
        <f t="shared" si="17"/>
        <v/>
      </c>
      <c r="IZ5" s="48">
        <f t="shared" si="17"/>
        <v>0.77181208053691275</v>
      </c>
      <c r="JA5" s="48">
        <f t="shared" si="17"/>
        <v>0.62095032397408212</v>
      </c>
      <c r="JB5" s="48">
        <f t="shared" si="17"/>
        <v>1.1639676113360324</v>
      </c>
      <c r="JC5" s="48">
        <f t="shared" si="17"/>
        <v>0.63535911602209949</v>
      </c>
      <c r="JD5" s="48">
        <f t="shared" si="17"/>
        <v>0.77201933404940926</v>
      </c>
      <c r="JE5" s="48">
        <f t="shared" si="17"/>
        <v>2.0609972611789318</v>
      </c>
      <c r="JF5" s="48">
        <f t="shared" si="17"/>
        <v>1.4947127243179159</v>
      </c>
      <c r="JG5" s="48">
        <f t="shared" si="17"/>
        <v>5.9013228615931377</v>
      </c>
      <c r="JH5" s="48">
        <f t="shared" si="17"/>
        <v>-27.988377663452123</v>
      </c>
      <c r="JI5" s="48"/>
      <c r="JJ5" s="48">
        <f t="shared" si="18"/>
        <v>0.56776104665514693</v>
      </c>
      <c r="JK5" s="48">
        <f t="shared" si="18"/>
        <v>0.74923447781614438</v>
      </c>
      <c r="JL5" s="48">
        <f t="shared" si="18"/>
        <v>3.098559558926532</v>
      </c>
      <c r="JM5" s="48"/>
      <c r="JN5" s="48">
        <f t="shared" si="19"/>
        <v>3.098559558926532</v>
      </c>
      <c r="JO5" s="47" t="str">
        <f t="shared" si="20"/>
        <v/>
      </c>
      <c r="JP5" s="48" t="str">
        <f t="shared" si="20"/>
        <v/>
      </c>
      <c r="JQ5" s="48" t="str">
        <f t="shared" si="20"/>
        <v/>
      </c>
      <c r="JR5" s="48">
        <f t="shared" si="20"/>
        <v>2.3964620187304893</v>
      </c>
      <c r="JS5" s="48">
        <f t="shared" si="20"/>
        <v>2.0113935144609991</v>
      </c>
      <c r="JT5" s="48">
        <f t="shared" si="20"/>
        <v>3.1825962910128389</v>
      </c>
      <c r="JU5" s="48">
        <f t="shared" si="20"/>
        <v>2.0170556552962298</v>
      </c>
      <c r="JV5" s="48">
        <f>IFERROR(EZ5/(CX5*4),"")</f>
        <v>2.3686222821965237</v>
      </c>
      <c r="JW5" s="48">
        <f>IFERROR(FA5/(CY5*4),"")</f>
        <v>3.5122250532993604</v>
      </c>
      <c r="JX5" s="48">
        <f t="shared" si="21"/>
        <v>2.7314533950189963</v>
      </c>
      <c r="JY5" s="48">
        <f t="shared" si="21"/>
        <v>6.9618349770801506</v>
      </c>
      <c r="JZ5" s="48">
        <f t="shared" si="21"/>
        <v>15.113863249736726</v>
      </c>
      <c r="KA5" s="48"/>
      <c r="KB5" s="48">
        <f t="shared" si="22"/>
        <v>1.8104146537014574</v>
      </c>
      <c r="KC5" s="48">
        <f t="shared" si="22"/>
        <v>2.3152763381062966</v>
      </c>
      <c r="KD5" s="48">
        <f t="shared" si="22"/>
        <v>4.7899385240253904</v>
      </c>
      <c r="KE5" s="48"/>
      <c r="KF5" s="48">
        <f t="shared" si="23"/>
        <v>4.7899385240253904</v>
      </c>
      <c r="KG5" s="49">
        <f t="shared" si="24"/>
        <v>7333</v>
      </c>
      <c r="KH5" s="50">
        <f>KG5/S5-1</f>
        <v>-0.11870797998927496</v>
      </c>
      <c r="KI5" s="49">
        <f t="shared" si="25"/>
        <v>1734.6770000000001</v>
      </c>
      <c r="KJ5" s="50">
        <f>KI5/AK5-1</f>
        <v>-0.43492181901101046</v>
      </c>
      <c r="KK5" s="51">
        <f t="shared" si="26"/>
        <v>0.23655761625528435</v>
      </c>
      <c r="KL5" s="52">
        <f t="shared" si="27"/>
        <v>12687</v>
      </c>
      <c r="KM5" s="52">
        <f t="shared" si="28"/>
        <v>142</v>
      </c>
      <c r="KN5" s="52">
        <f t="shared" si="29"/>
        <v>1048</v>
      </c>
      <c r="KO5" s="53">
        <f t="shared" si="30"/>
        <v>2.8802490213136145</v>
      </c>
      <c r="KP5" s="54">
        <f>IS5</f>
        <v>3.648659488045217</v>
      </c>
      <c r="KQ5" s="53">
        <f t="shared" si="31"/>
        <v>3.098559558926532</v>
      </c>
      <c r="KR5" s="54">
        <f>JK5</f>
        <v>0.74923447781614438</v>
      </c>
      <c r="KS5" s="53">
        <f t="shared" si="32"/>
        <v>4.7899385240253904</v>
      </c>
      <c r="KT5" s="54">
        <f>KC5</f>
        <v>2.3152763381062966</v>
      </c>
      <c r="KU5" s="55" t="s">
        <v>65</v>
      </c>
      <c r="KV5" s="56">
        <v>3</v>
      </c>
      <c r="KW5" s="37" t="s">
        <v>66</v>
      </c>
      <c r="KY5" s="37" t="s">
        <v>75</v>
      </c>
      <c r="KZ5" s="37" t="s">
        <v>76</v>
      </c>
      <c r="LA5" s="37" t="s">
        <v>77</v>
      </c>
      <c r="LB5" s="57" t="s">
        <v>78</v>
      </c>
      <c r="LD5" s="58" t="s">
        <v>79</v>
      </c>
      <c r="LE5" s="12" t="s">
        <v>80</v>
      </c>
      <c r="LF5" s="59" t="s">
        <v>81</v>
      </c>
    </row>
    <row r="6" spans="1:318" x14ac:dyDescent="0.25">
      <c r="A6" s="36" t="s">
        <v>82</v>
      </c>
      <c r="B6" s="37" t="s">
        <v>83</v>
      </c>
      <c r="C6" s="37" t="str">
        <f>INDEX('[1]Property Summary'!AB:AB,MATCH($A6,'[1]Property Summary'!$F:$F,FALSE))</f>
        <v>DC Riverhead</v>
      </c>
      <c r="D6" s="38"/>
      <c r="R6" s="39">
        <v>823730</v>
      </c>
      <c r="S6" s="39">
        <v>809798</v>
      </c>
      <c r="AJ6" s="39">
        <f>-15126+4865</f>
        <v>-10261</v>
      </c>
      <c r="AK6" s="39">
        <f>-22596+5707</f>
        <v>-16889</v>
      </c>
      <c r="AO6" s="42" t="str">
        <f t="shared" si="0"/>
        <v/>
      </c>
      <c r="AP6" s="43" t="str">
        <f t="shared" si="0"/>
        <v/>
      </c>
      <c r="AQ6" s="43" t="str">
        <f t="shared" si="0"/>
        <v/>
      </c>
      <c r="AR6" s="43" t="str">
        <f t="shared" si="0"/>
        <v/>
      </c>
      <c r="AS6" s="43" t="str">
        <f t="shared" si="0"/>
        <v/>
      </c>
      <c r="AT6" s="43" t="str">
        <f t="shared" si="0"/>
        <v/>
      </c>
      <c r="AU6" s="43" t="str">
        <f t="shared" si="0"/>
        <v/>
      </c>
      <c r="AV6" s="43" t="str">
        <f t="shared" si="0"/>
        <v/>
      </c>
      <c r="AW6" s="43"/>
      <c r="AX6" s="43"/>
      <c r="AY6" s="43"/>
      <c r="AZ6" s="43"/>
      <c r="BA6" s="43"/>
      <c r="BB6" s="43">
        <f t="shared" si="1"/>
        <v>-1.2456751605501803E-2</v>
      </c>
      <c r="BC6" s="43">
        <f t="shared" si="1"/>
        <v>-2.0855818364579809E-2</v>
      </c>
      <c r="BD6" s="43"/>
      <c r="BE6" s="43"/>
      <c r="BF6" s="44" t="str">
        <f t="shared" si="2"/>
        <v/>
      </c>
      <c r="BT6" s="39">
        <v>2523</v>
      </c>
      <c r="BU6" s="39">
        <v>2219</v>
      </c>
      <c r="CL6" s="39">
        <f>(18328971-2204784)/1000</f>
        <v>16124.187</v>
      </c>
      <c r="CM6" s="39">
        <f>13562</f>
        <v>13562</v>
      </c>
      <c r="CQ6" s="41" t="str">
        <f t="shared" si="3"/>
        <v/>
      </c>
      <c r="CR6" s="39" t="str">
        <f t="shared" si="3"/>
        <v/>
      </c>
      <c r="CS6" s="39" t="str">
        <f t="shared" si="3"/>
        <v/>
      </c>
      <c r="CT6" s="39" t="str">
        <f t="shared" si="3"/>
        <v/>
      </c>
      <c r="CU6" s="39" t="str">
        <f t="shared" si="3"/>
        <v/>
      </c>
      <c r="CV6" s="39" t="str">
        <f t="shared" si="3"/>
        <v/>
      </c>
      <c r="CW6" s="39" t="str">
        <f t="shared" si="3"/>
        <v/>
      </c>
      <c r="CX6" s="39" t="str">
        <f t="shared" si="3"/>
        <v/>
      </c>
      <c r="DD6" s="39">
        <f t="shared" si="4"/>
        <v>5863.1869999999999</v>
      </c>
      <c r="DE6" s="39">
        <f t="shared" si="4"/>
        <v>-3327</v>
      </c>
      <c r="DH6" s="39" t="str">
        <f t="shared" si="5"/>
        <v/>
      </c>
      <c r="DV6" s="39">
        <f>9553+278920</f>
        <v>288473</v>
      </c>
      <c r="DW6" s="39">
        <f>7549+252892</f>
        <v>260441</v>
      </c>
      <c r="DZ6" s="40">
        <f>DW6</f>
        <v>260441</v>
      </c>
      <c r="EA6" s="45"/>
      <c r="EB6" s="46"/>
      <c r="EC6" s="46"/>
      <c r="ED6" s="46"/>
      <c r="EE6" s="46"/>
      <c r="EF6" s="46"/>
      <c r="EG6" s="46"/>
      <c r="EH6" s="46"/>
      <c r="EI6" s="46"/>
      <c r="EJ6" s="46"/>
      <c r="EK6" s="46"/>
      <c r="EL6" s="46"/>
      <c r="EM6" s="46"/>
      <c r="EN6" s="46">
        <f>10099+4040+34115+720</f>
        <v>48974</v>
      </c>
      <c r="EO6" s="46">
        <f>3430+4415+30854</f>
        <v>38699</v>
      </c>
      <c r="EP6" s="46"/>
      <c r="EQ6" s="46"/>
      <c r="ER6" s="40">
        <f>EN6</f>
        <v>48974</v>
      </c>
      <c r="ES6" s="45" t="str">
        <f t="shared" si="7"/>
        <v/>
      </c>
      <c r="ET6" s="46" t="str">
        <f t="shared" si="7"/>
        <v/>
      </c>
      <c r="EU6" s="46" t="str">
        <f t="shared" si="7"/>
        <v/>
      </c>
      <c r="EV6" s="46" t="str">
        <f t="shared" si="7"/>
        <v/>
      </c>
      <c r="EW6" s="46" t="str">
        <f t="shared" si="7"/>
        <v/>
      </c>
      <c r="EX6" s="46" t="str">
        <f t="shared" si="7"/>
        <v/>
      </c>
      <c r="EY6" s="46" t="str">
        <f t="shared" si="7"/>
        <v/>
      </c>
      <c r="EZ6" s="46" t="str">
        <f t="shared" si="7"/>
        <v/>
      </c>
      <c r="FA6" s="46"/>
      <c r="FB6" s="46"/>
      <c r="FC6" s="46"/>
      <c r="FD6" s="46"/>
      <c r="FE6" s="46"/>
      <c r="FF6" s="46">
        <f t="shared" si="9"/>
        <v>337447</v>
      </c>
      <c r="FG6" s="46">
        <f t="shared" si="9"/>
        <v>299140</v>
      </c>
      <c r="FH6" s="46"/>
      <c r="FI6" s="46"/>
      <c r="FJ6" s="46">
        <f t="shared" si="10"/>
        <v>309415</v>
      </c>
      <c r="FK6" s="45"/>
      <c r="FL6" s="46"/>
      <c r="FM6" s="46"/>
      <c r="FN6" s="46"/>
      <c r="FO6" s="46"/>
      <c r="FP6" s="46"/>
      <c r="FQ6" s="46"/>
      <c r="FR6" s="46"/>
      <c r="FS6" s="46"/>
      <c r="FT6" s="46"/>
      <c r="FU6" s="46"/>
      <c r="FV6" s="46"/>
      <c r="FW6" s="46"/>
      <c r="FX6" s="46">
        <v>34331</v>
      </c>
      <c r="FY6" s="46">
        <v>9004</v>
      </c>
      <c r="FZ6" s="46"/>
      <c r="GA6" s="46"/>
      <c r="GB6" s="40">
        <f>FY6</f>
        <v>9004</v>
      </c>
      <c r="GC6" s="45"/>
      <c r="GD6" s="46"/>
      <c r="GE6" s="46"/>
      <c r="GF6" s="46"/>
      <c r="GG6" s="46"/>
      <c r="GH6" s="46"/>
      <c r="GI6" s="46"/>
      <c r="GJ6" s="46"/>
      <c r="GK6" s="46"/>
      <c r="GL6" s="46"/>
      <c r="GM6" s="46"/>
      <c r="GN6" s="46"/>
      <c r="GO6" s="46"/>
      <c r="GP6" s="46">
        <v>16261</v>
      </c>
      <c r="GQ6" s="46">
        <v>43148</v>
      </c>
      <c r="GR6" s="46"/>
      <c r="GS6" s="46"/>
      <c r="GT6" s="40"/>
      <c r="GU6" s="45"/>
      <c r="GV6" s="46"/>
      <c r="GW6" s="46"/>
      <c r="GX6" s="46"/>
      <c r="GY6" s="46"/>
      <c r="GZ6" s="46"/>
      <c r="HA6" s="46"/>
      <c r="HB6" s="46"/>
      <c r="HC6" s="46"/>
      <c r="HD6" s="46"/>
      <c r="HE6" s="46"/>
      <c r="HF6" s="46"/>
      <c r="HG6" s="46"/>
      <c r="HH6" s="46">
        <v>4266</v>
      </c>
      <c r="HI6" s="46">
        <v>7992</v>
      </c>
      <c r="HJ6" s="46"/>
      <c r="HK6" s="46"/>
      <c r="HL6" s="40"/>
      <c r="HM6" s="45" t="str">
        <f t="shared" si="11"/>
        <v/>
      </c>
      <c r="HN6" s="46" t="str">
        <f t="shared" si="11"/>
        <v/>
      </c>
      <c r="HO6" s="46" t="str">
        <f t="shared" si="11"/>
        <v/>
      </c>
      <c r="HP6" s="46" t="str">
        <f t="shared" si="11"/>
        <v/>
      </c>
      <c r="HQ6" s="46" t="str">
        <f t="shared" si="11"/>
        <v/>
      </c>
      <c r="HR6" s="46" t="str">
        <f t="shared" si="11"/>
        <v/>
      </c>
      <c r="HS6" s="46" t="str">
        <f t="shared" si="11"/>
        <v/>
      </c>
      <c r="HT6" s="46" t="str">
        <f t="shared" si="11"/>
        <v/>
      </c>
      <c r="HU6" s="46"/>
      <c r="HV6" s="46"/>
      <c r="HW6" s="46"/>
      <c r="HX6" s="46"/>
      <c r="HY6" s="46"/>
      <c r="HZ6" s="46">
        <f t="shared" si="12"/>
        <v>11995</v>
      </c>
      <c r="IA6" s="46">
        <f t="shared" si="12"/>
        <v>35156</v>
      </c>
      <c r="IB6" s="46"/>
      <c r="IC6" s="46"/>
      <c r="ID6" s="46" t="str">
        <f t="shared" si="13"/>
        <v/>
      </c>
      <c r="IE6" s="47" t="str">
        <f t="shared" si="14"/>
        <v/>
      </c>
      <c r="IF6" s="48" t="str">
        <f t="shared" si="14"/>
        <v/>
      </c>
      <c r="IG6" s="48" t="str">
        <f t="shared" si="14"/>
        <v/>
      </c>
      <c r="IH6" s="48" t="str">
        <f t="shared" si="14"/>
        <v/>
      </c>
      <c r="II6" s="48" t="str">
        <f t="shared" si="14"/>
        <v/>
      </c>
      <c r="IJ6" s="48" t="str">
        <f t="shared" si="14"/>
        <v/>
      </c>
      <c r="IK6" s="48" t="str">
        <f t="shared" si="14"/>
        <v/>
      </c>
      <c r="IL6" s="48" t="str">
        <f t="shared" si="14"/>
        <v/>
      </c>
      <c r="IM6" s="48"/>
      <c r="IN6" s="48"/>
      <c r="IO6" s="48"/>
      <c r="IP6" s="48"/>
      <c r="IQ6" s="48"/>
      <c r="IR6" s="48">
        <f t="shared" si="15"/>
        <v>0.31442742543419555</v>
      </c>
      <c r="IS6" s="48">
        <f t="shared" si="15"/>
        <v>-0.21082314175274064</v>
      </c>
      <c r="IT6" s="48"/>
      <c r="IU6" s="48"/>
      <c r="IV6" s="48" t="str">
        <f t="shared" si="16"/>
        <v/>
      </c>
      <c r="IW6" s="47" t="str">
        <f t="shared" si="17"/>
        <v/>
      </c>
      <c r="IX6" s="48" t="str">
        <f t="shared" si="17"/>
        <v/>
      </c>
      <c r="IY6" s="48" t="str">
        <f t="shared" si="17"/>
        <v/>
      </c>
      <c r="IZ6" s="48" t="str">
        <f t="shared" si="17"/>
        <v/>
      </c>
      <c r="JA6" s="48" t="str">
        <f t="shared" si="17"/>
        <v/>
      </c>
      <c r="JB6" s="48" t="str">
        <f t="shared" si="17"/>
        <v/>
      </c>
      <c r="JC6" s="48" t="str">
        <f t="shared" si="17"/>
        <v/>
      </c>
      <c r="JD6" s="48" t="str">
        <f t="shared" si="17"/>
        <v/>
      </c>
      <c r="JE6" s="48" t="str">
        <f t="shared" si="17"/>
        <v/>
      </c>
      <c r="JF6" s="48" t="str">
        <f t="shared" si="17"/>
        <v/>
      </c>
      <c r="JG6" s="48" t="str">
        <f t="shared" si="17"/>
        <v/>
      </c>
      <c r="JH6" s="48" t="str">
        <f t="shared" si="17"/>
        <v/>
      </c>
      <c r="JI6" s="48"/>
      <c r="JJ6" s="48">
        <f t="shared" si="18"/>
        <v>-4.7728291589513692</v>
      </c>
      <c r="JK6" s="48">
        <f t="shared" si="18"/>
        <v>-2.291373083071822</v>
      </c>
      <c r="JL6" s="48" t="str">
        <f t="shared" si="18"/>
        <v/>
      </c>
      <c r="JM6" s="48"/>
      <c r="JN6" s="48" t="str">
        <f t="shared" si="19"/>
        <v/>
      </c>
      <c r="JO6" s="47" t="str">
        <f t="shared" si="20"/>
        <v/>
      </c>
      <c r="JP6" s="48" t="str">
        <f t="shared" si="20"/>
        <v/>
      </c>
      <c r="JQ6" s="48" t="str">
        <f t="shared" si="20"/>
        <v/>
      </c>
      <c r="JR6" s="48" t="str">
        <f t="shared" si="20"/>
        <v/>
      </c>
      <c r="JS6" s="48" t="str">
        <f t="shared" si="20"/>
        <v/>
      </c>
      <c r="JT6" s="48" t="str">
        <f t="shared" si="20"/>
        <v/>
      </c>
      <c r="JU6" s="48" t="str">
        <f t="shared" si="20"/>
        <v/>
      </c>
      <c r="JV6" s="48" t="str">
        <f t="shared" si="20"/>
        <v/>
      </c>
      <c r="JW6" s="48"/>
      <c r="JX6" s="48"/>
      <c r="JY6" s="48"/>
      <c r="JZ6" s="48"/>
      <c r="KA6" s="48"/>
      <c r="KB6" s="48">
        <f t="shared" si="22"/>
        <v>57.553511426464823</v>
      </c>
      <c r="KC6" s="48">
        <f t="shared" si="22"/>
        <v>-89.912834385332133</v>
      </c>
      <c r="KD6" s="48"/>
      <c r="KE6" s="48"/>
      <c r="KF6" s="48" t="str">
        <f t="shared" si="23"/>
        <v/>
      </c>
      <c r="KG6" s="49">
        <f t="shared" si="24"/>
        <v>809798</v>
      </c>
      <c r="KH6" s="50">
        <f>KG6/R6-1</f>
        <v>-1.6913308972600238E-2</v>
      </c>
      <c r="KI6" s="49">
        <f t="shared" si="25"/>
        <v>-16889</v>
      </c>
      <c r="KJ6" s="50">
        <f>KI6/AJ6-1</f>
        <v>0.64594094142871072</v>
      </c>
      <c r="KK6" s="51">
        <f t="shared" si="26"/>
        <v>-2.0855818364579809E-2</v>
      </c>
      <c r="KL6" s="52">
        <f t="shared" si="27"/>
        <v>309415</v>
      </c>
      <c r="KM6" s="52">
        <f t="shared" si="28"/>
        <v>9004</v>
      </c>
      <c r="KN6" s="52">
        <f t="shared" si="29"/>
        <v>43148</v>
      </c>
      <c r="KO6" s="53">
        <f t="shared" si="30"/>
        <v>-0.21082314175274064</v>
      </c>
      <c r="KP6" s="54">
        <f>IR6</f>
        <v>0.31442742543419555</v>
      </c>
      <c r="KQ6" s="53">
        <f t="shared" si="31"/>
        <v>-2.291373083071822</v>
      </c>
      <c r="KR6" s="54">
        <f>JJ6</f>
        <v>-4.7728291589513692</v>
      </c>
      <c r="KS6" s="53">
        <f t="shared" si="32"/>
        <v>-89.912834385332133</v>
      </c>
      <c r="KT6" s="54">
        <f>KB6</f>
        <v>57.553511426464823</v>
      </c>
      <c r="KU6" s="55">
        <v>2024</v>
      </c>
      <c r="KV6" s="56">
        <v>3</v>
      </c>
      <c r="KW6" s="37" t="s">
        <v>66</v>
      </c>
      <c r="KY6" s="37" t="s">
        <v>84</v>
      </c>
      <c r="KZ6" s="60" t="s">
        <v>85</v>
      </c>
      <c r="LA6" s="37" t="s">
        <v>86</v>
      </c>
      <c r="LB6" s="57" t="s">
        <v>87</v>
      </c>
      <c r="LD6" s="58" t="s">
        <v>88</v>
      </c>
      <c r="LE6" s="12" t="s">
        <v>80</v>
      </c>
      <c r="LF6" s="59" t="s">
        <v>89</v>
      </c>
    </row>
    <row r="7" spans="1:318" x14ac:dyDescent="0.25">
      <c r="A7" s="36" t="s">
        <v>90</v>
      </c>
      <c r="B7" s="37" t="s">
        <v>90</v>
      </c>
      <c r="C7" s="37" t="str">
        <f>INDEX('[1]Property Summary'!AB:AB,MATCH($A7,'[1]Property Summary'!$F:$F,FALSE))</f>
        <v>PC Slices</v>
      </c>
      <c r="D7" s="38"/>
      <c r="I7" s="39">
        <v>2733.127</v>
      </c>
      <c r="J7" s="39">
        <v>2738.8539999999998</v>
      </c>
      <c r="K7" s="39">
        <v>2610.8789999999999</v>
      </c>
      <c r="L7" s="39">
        <f>S7-SUM(I7:K7)</f>
        <v>3456.1400000000003</v>
      </c>
      <c r="M7" s="39">
        <v>2802.308</v>
      </c>
      <c r="N7" s="39">
        <v>2914</v>
      </c>
      <c r="O7" s="39">
        <v>2954</v>
      </c>
      <c r="P7" s="39">
        <f>12329-O7-N7-M7</f>
        <v>3658.692</v>
      </c>
      <c r="R7" s="39">
        <v>11104.847</v>
      </c>
      <c r="S7" s="39">
        <v>11539</v>
      </c>
      <c r="T7" s="39">
        <v>12329</v>
      </c>
      <c r="V7" s="40">
        <f>SUM(M7:P7)</f>
        <v>12329</v>
      </c>
      <c r="AA7" s="39">
        <v>260.39999999999998</v>
      </c>
      <c r="AB7" s="39">
        <v>178.91800000000001</v>
      </c>
      <c r="AC7" s="39">
        <v>71.48</v>
      </c>
      <c r="AD7" s="39">
        <f>AK7-SUM(AA7:AC7)</f>
        <v>130.202</v>
      </c>
      <c r="AE7" s="39">
        <v>236.279</v>
      </c>
      <c r="AF7" s="39">
        <v>146.4</v>
      </c>
      <c r="AG7" s="39">
        <v>162</v>
      </c>
      <c r="AH7" s="39">
        <f>661.346-AG7-AF7-AE7</f>
        <v>116.66700000000003</v>
      </c>
      <c r="AJ7" s="39">
        <v>885.07100000000003</v>
      </c>
      <c r="AK7" s="39">
        <v>641</v>
      </c>
      <c r="AL7" s="39">
        <f>SUM(AE7:AH7)</f>
        <v>661.346</v>
      </c>
      <c r="AN7" s="40">
        <f>SUM(AE7:AH7)</f>
        <v>661.346</v>
      </c>
      <c r="AO7" s="42" t="str">
        <f t="shared" si="0"/>
        <v/>
      </c>
      <c r="AP7" s="43" t="str">
        <f t="shared" si="0"/>
        <v/>
      </c>
      <c r="AQ7" s="43" t="str">
        <f t="shared" si="0"/>
        <v/>
      </c>
      <c r="AR7" s="43" t="str">
        <f t="shared" si="0"/>
        <v/>
      </c>
      <c r="AS7" s="43">
        <f t="shared" si="0"/>
        <v>9.5275484820134593E-2</v>
      </c>
      <c r="AT7" s="43">
        <f t="shared" si="0"/>
        <v>6.5325862568797036E-2</v>
      </c>
      <c r="AU7" s="43">
        <f t="shared" si="0"/>
        <v>2.7377752856413494E-2</v>
      </c>
      <c r="AV7" s="43">
        <f t="shared" si="0"/>
        <v>3.7672663723113065E-2</v>
      </c>
      <c r="AW7" s="43">
        <f t="shared" si="0"/>
        <v>8.4315856786620166E-2</v>
      </c>
      <c r="AX7" s="43">
        <f t="shared" si="0"/>
        <v>5.0240219629375429E-2</v>
      </c>
      <c r="AY7" s="43">
        <f t="shared" si="0"/>
        <v>5.4840893703452943E-2</v>
      </c>
      <c r="AZ7" s="43">
        <f t="shared" si="0"/>
        <v>3.1887625413672432E-2</v>
      </c>
      <c r="BA7" s="43"/>
      <c r="BB7" s="43">
        <f t="shared" si="1"/>
        <v>7.970132321498892E-2</v>
      </c>
      <c r="BC7" s="43">
        <f t="shared" si="1"/>
        <v>5.5550740965421612E-2</v>
      </c>
      <c r="BD7" s="43">
        <f>IFERROR(AL7/T7,"")</f>
        <v>5.3641495660637521E-2</v>
      </c>
      <c r="BE7" s="43"/>
      <c r="BF7" s="44">
        <f t="shared" si="2"/>
        <v>5.3641495660637521E-2</v>
      </c>
      <c r="BK7" s="39">
        <v>57.247999999999998</v>
      </c>
      <c r="BL7" s="39">
        <v>74.72</v>
      </c>
      <c r="BM7" s="39">
        <v>74.082999999999998</v>
      </c>
      <c r="BN7" s="39">
        <f>BU7-SUM(BK7:BM7)</f>
        <v>11.949000000000012</v>
      </c>
      <c r="BO7" s="39">
        <v>73.415000000000006</v>
      </c>
      <c r="BP7" s="39">
        <v>71</v>
      </c>
      <c r="BQ7" s="39">
        <v>68.5</v>
      </c>
      <c r="BR7" s="39">
        <f>240.29-BQ7-BP7-BO7</f>
        <v>27.374999999999986</v>
      </c>
      <c r="BT7" s="39">
        <v>190.083</v>
      </c>
      <c r="BU7" s="39">
        <v>218</v>
      </c>
      <c r="BV7" s="39">
        <f>SUM(BO7:BR7)</f>
        <v>240.29000000000002</v>
      </c>
      <c r="BX7" s="40">
        <f>SUM(BO7:BR7)</f>
        <v>240.29000000000002</v>
      </c>
      <c r="CC7" s="39">
        <v>72.492999999999995</v>
      </c>
      <c r="CD7" s="39">
        <v>72.494</v>
      </c>
      <c r="CE7" s="39">
        <v>74.156999999999996</v>
      </c>
      <c r="CF7" s="39">
        <f>CM7-SUM(CC7:CE7)</f>
        <v>98.855999999999995</v>
      </c>
      <c r="CG7" s="39">
        <v>74.313999999999993</v>
      </c>
      <c r="CH7" s="39">
        <v>82</v>
      </c>
      <c r="CI7" s="39">
        <v>89.4</v>
      </c>
      <c r="CJ7" s="39">
        <f>358.311-CI7-CH7-CG7</f>
        <v>112.59699999999995</v>
      </c>
      <c r="CL7" s="39">
        <v>289.85300000000001</v>
      </c>
      <c r="CM7" s="39">
        <v>318</v>
      </c>
      <c r="CN7" s="39">
        <f>SUM(CG7:CJ7)</f>
        <v>358.31099999999992</v>
      </c>
      <c r="CP7" s="40">
        <f>SUM(CG7:CJ7)</f>
        <v>358.31099999999992</v>
      </c>
      <c r="CQ7" s="41" t="str">
        <f t="shared" si="3"/>
        <v/>
      </c>
      <c r="CR7" s="39" t="str">
        <f t="shared" si="3"/>
        <v/>
      </c>
      <c r="CS7" s="39" t="str">
        <f t="shared" si="3"/>
        <v/>
      </c>
      <c r="CT7" s="39" t="str">
        <f t="shared" si="3"/>
        <v/>
      </c>
      <c r="CU7" s="39">
        <f t="shared" si="3"/>
        <v>332.89299999999997</v>
      </c>
      <c r="CV7" s="39">
        <f t="shared" si="3"/>
        <v>251.41200000000001</v>
      </c>
      <c r="CW7" s="39">
        <f t="shared" si="3"/>
        <v>145.637</v>
      </c>
      <c r="CX7" s="39">
        <f t="shared" si="3"/>
        <v>229.05799999999999</v>
      </c>
      <c r="CY7" s="39">
        <f t="shared" si="3"/>
        <v>310.59299999999996</v>
      </c>
      <c r="CZ7" s="39">
        <f t="shared" si="3"/>
        <v>228.4</v>
      </c>
      <c r="DA7" s="39">
        <f t="shared" si="3"/>
        <v>251.4</v>
      </c>
      <c r="DB7" s="39">
        <f t="shared" si="3"/>
        <v>229.26399999999998</v>
      </c>
      <c r="DD7" s="39">
        <f t="shared" si="4"/>
        <v>1174.924</v>
      </c>
      <c r="DE7" s="39">
        <f t="shared" si="4"/>
        <v>959</v>
      </c>
      <c r="DF7" s="39">
        <f>IF(AL7+CN7=0,"",AL7+CN7)</f>
        <v>1019.6569999999999</v>
      </c>
      <c r="DH7" s="39">
        <f t="shared" si="5"/>
        <v>1019.6569999999999</v>
      </c>
      <c r="DP7" s="39">
        <f>DW7</f>
        <v>2544</v>
      </c>
      <c r="DQ7" s="39">
        <f>DZ7</f>
        <v>2866.4879999999994</v>
      </c>
      <c r="DR7" s="39">
        <f>DZ7</f>
        <v>2866.4879999999994</v>
      </c>
      <c r="DS7" s="39">
        <f>DR7</f>
        <v>2866.4879999999994</v>
      </c>
      <c r="DT7" s="39">
        <f>DS7</f>
        <v>2866.4879999999994</v>
      </c>
      <c r="DV7" s="39">
        <f>8*CL7</f>
        <v>2318.8240000000001</v>
      </c>
      <c r="DW7" s="39">
        <f>8*CM7</f>
        <v>2544</v>
      </c>
      <c r="DX7" s="39">
        <f>8*CN7</f>
        <v>2866.4879999999994</v>
      </c>
      <c r="DZ7" s="40">
        <f>8*CP7</f>
        <v>2866.4879999999994</v>
      </c>
      <c r="EA7" s="45"/>
      <c r="EB7" s="46"/>
      <c r="EC7" s="46"/>
      <c r="ED7" s="46"/>
      <c r="EE7" s="46"/>
      <c r="EF7" s="46"/>
      <c r="EG7" s="46"/>
      <c r="EH7" s="46">
        <f>EO7</f>
        <v>3055</v>
      </c>
      <c r="EI7" s="46">
        <f>EO7</f>
        <v>3055</v>
      </c>
      <c r="EJ7" s="46">
        <f>138.3+103.2+2688.9</f>
        <v>2930.4</v>
      </c>
      <c r="EK7" s="46">
        <f>241.4+3559</f>
        <v>3800.4</v>
      </c>
      <c r="EL7" s="46">
        <f>2927+277</f>
        <v>3204</v>
      </c>
      <c r="EM7" s="46"/>
      <c r="EN7" s="46">
        <v>2980</v>
      </c>
      <c r="EO7" s="46">
        <f>151+2904</f>
        <v>3055</v>
      </c>
      <c r="EP7" s="46">
        <f>EL7</f>
        <v>3204</v>
      </c>
      <c r="EQ7" s="46"/>
      <c r="ER7" s="40">
        <f>EL7</f>
        <v>3204</v>
      </c>
      <c r="ES7" s="45" t="str">
        <f t="shared" si="7"/>
        <v/>
      </c>
      <c r="ET7" s="46" t="str">
        <f t="shared" si="7"/>
        <v/>
      </c>
      <c r="EU7" s="46" t="str">
        <f t="shared" si="7"/>
        <v/>
      </c>
      <c r="EV7" s="46" t="str">
        <f t="shared" si="7"/>
        <v/>
      </c>
      <c r="EW7" s="46" t="str">
        <f t="shared" si="7"/>
        <v/>
      </c>
      <c r="EX7" s="46" t="str">
        <f t="shared" si="7"/>
        <v/>
      </c>
      <c r="EY7" s="46" t="str">
        <f t="shared" si="7"/>
        <v/>
      </c>
      <c r="EZ7" s="46">
        <f t="shared" si="7"/>
        <v>5599</v>
      </c>
      <c r="FA7" s="46">
        <f t="shared" si="7"/>
        <v>5921.4879999999994</v>
      </c>
      <c r="FB7" s="46">
        <f t="shared" si="7"/>
        <v>5796.887999999999</v>
      </c>
      <c r="FC7" s="46">
        <f t="shared" si="7"/>
        <v>6666.887999999999</v>
      </c>
      <c r="FD7" s="46">
        <f t="shared" si="7"/>
        <v>6070.4879999999994</v>
      </c>
      <c r="FE7" s="46"/>
      <c r="FF7" s="46">
        <f t="shared" si="9"/>
        <v>5298.8240000000005</v>
      </c>
      <c r="FG7" s="46">
        <f t="shared" si="9"/>
        <v>5599</v>
      </c>
      <c r="FH7" s="46">
        <f>IF(DX7+EP7=0,"",DX7+EP7)</f>
        <v>6070.4879999999994</v>
      </c>
      <c r="FI7" s="46"/>
      <c r="FJ7" s="46">
        <f t="shared" si="10"/>
        <v>6070.4879999999994</v>
      </c>
      <c r="FK7" s="45"/>
      <c r="FL7" s="46"/>
      <c r="FM7" s="46"/>
      <c r="FN7" s="46"/>
      <c r="FO7" s="46"/>
      <c r="FP7" s="46"/>
      <c r="FQ7" s="46"/>
      <c r="FR7" s="46">
        <f>FY7</f>
        <v>637.5</v>
      </c>
      <c r="FS7" s="46">
        <f>GB7</f>
        <v>626</v>
      </c>
      <c r="FT7" s="46">
        <f>4+577.8+17+6+22+110</f>
        <v>736.8</v>
      </c>
      <c r="FU7" s="46">
        <f>4+606+41+110</f>
        <v>761</v>
      </c>
      <c r="FV7" s="46">
        <f>4+477+12+8+15+110</f>
        <v>626</v>
      </c>
      <c r="FW7" s="46"/>
      <c r="FX7" s="46">
        <f>3.5+763.8+17+5.3+19.3+232.3</f>
        <v>1041.1999999999998</v>
      </c>
      <c r="FY7" s="46">
        <f>478.5+21+7+21+110</f>
        <v>637.5</v>
      </c>
      <c r="FZ7" s="46">
        <f>FV7</f>
        <v>626</v>
      </c>
      <c r="GA7" s="46"/>
      <c r="GB7" s="40">
        <f>FV7</f>
        <v>626</v>
      </c>
      <c r="GC7" s="45"/>
      <c r="GD7" s="46"/>
      <c r="GE7" s="46"/>
      <c r="GF7" s="46"/>
      <c r="GG7" s="46"/>
      <c r="GH7" s="46"/>
      <c r="GI7" s="46"/>
      <c r="GJ7" s="46"/>
      <c r="GK7" s="46">
        <f>298.8-GL7</f>
        <v>239.9</v>
      </c>
      <c r="GL7" s="46">
        <v>58.9</v>
      </c>
      <c r="GM7" s="46">
        <v>64</v>
      </c>
      <c r="GN7" s="46">
        <f>460-GM7-GL7-GK7</f>
        <v>97.200000000000017</v>
      </c>
      <c r="GO7" s="46"/>
      <c r="GP7" s="46">
        <v>1107.08</v>
      </c>
      <c r="GQ7" s="46">
        <v>71.400000000000006</v>
      </c>
      <c r="GR7" s="46">
        <f>SUM(GK7:GN7)</f>
        <v>460</v>
      </c>
      <c r="GS7" s="46"/>
      <c r="GT7" s="40">
        <f>SUM(GK7:GN7)</f>
        <v>460</v>
      </c>
      <c r="GU7" s="45"/>
      <c r="GV7" s="46"/>
      <c r="GW7" s="46"/>
      <c r="GX7" s="46"/>
      <c r="GY7" s="46"/>
      <c r="GZ7" s="46"/>
      <c r="HA7" s="46"/>
      <c r="HB7" s="46"/>
      <c r="HC7" s="46">
        <f>16+3+19-HD7</f>
        <v>12.399999999999999</v>
      </c>
      <c r="HD7" s="46">
        <f>4.2+7.4+4+10</f>
        <v>25.6</v>
      </c>
      <c r="HE7" s="46">
        <f>24.7+4.8+23.6</f>
        <v>53.1</v>
      </c>
      <c r="HF7" s="46">
        <f>19+185+52-HE7-HD7-HC7</f>
        <v>164.9</v>
      </c>
      <c r="HG7" s="46"/>
      <c r="HH7" s="46">
        <f>11.87+158.1+12.5+44.8</f>
        <v>227.26999999999998</v>
      </c>
      <c r="HI7" s="46">
        <f>2.5+133.3+185.5+2.8+118.2</f>
        <v>442.3</v>
      </c>
      <c r="HJ7" s="46">
        <f>SUM(HC7:HF7)</f>
        <v>256</v>
      </c>
      <c r="HK7" s="46"/>
      <c r="HL7" s="40">
        <f>SUM(HC7:HF7)</f>
        <v>256</v>
      </c>
      <c r="HM7" s="45" t="str">
        <f t="shared" si="11"/>
        <v/>
      </c>
      <c r="HN7" s="46" t="str">
        <f t="shared" si="11"/>
        <v/>
      </c>
      <c r="HO7" s="46" t="str">
        <f t="shared" si="11"/>
        <v/>
      </c>
      <c r="HP7" s="46" t="str">
        <f t="shared" si="11"/>
        <v/>
      </c>
      <c r="HQ7" s="46" t="str">
        <f t="shared" si="11"/>
        <v/>
      </c>
      <c r="HR7" s="46" t="str">
        <f t="shared" si="11"/>
        <v/>
      </c>
      <c r="HS7" s="46" t="str">
        <f t="shared" si="11"/>
        <v/>
      </c>
      <c r="HT7" s="46" t="str">
        <f t="shared" si="11"/>
        <v/>
      </c>
      <c r="HU7" s="46">
        <f t="shared" si="11"/>
        <v>227.5</v>
      </c>
      <c r="HV7" s="46">
        <f t="shared" si="11"/>
        <v>33.299999999999997</v>
      </c>
      <c r="HW7" s="46">
        <f t="shared" si="11"/>
        <v>10.899999999999999</v>
      </c>
      <c r="HX7" s="46">
        <f t="shared" si="11"/>
        <v>-67.699999999999989</v>
      </c>
      <c r="HY7" s="46"/>
      <c r="HZ7" s="46">
        <f t="shared" si="12"/>
        <v>879.81</v>
      </c>
      <c r="IA7" s="46">
        <f t="shared" si="12"/>
        <v>-370.9</v>
      </c>
      <c r="IB7" s="46">
        <f>IF(GR7-HJ7=0,"",GR7-HJ7)</f>
        <v>204</v>
      </c>
      <c r="IC7" s="46"/>
      <c r="ID7" s="46">
        <f t="shared" si="13"/>
        <v>204</v>
      </c>
      <c r="IE7" s="47" t="str">
        <f t="shared" si="14"/>
        <v/>
      </c>
      <c r="IF7" s="48" t="str">
        <f t="shared" si="14"/>
        <v/>
      </c>
      <c r="IG7" s="48" t="str">
        <f t="shared" si="14"/>
        <v/>
      </c>
      <c r="IH7" s="48" t="str">
        <f t="shared" si="14"/>
        <v/>
      </c>
      <c r="II7" s="48">
        <f t="shared" si="14"/>
        <v>2.5658273020864648</v>
      </c>
      <c r="IJ7" s="48">
        <f t="shared" si="14"/>
        <v>1.7077995299360116</v>
      </c>
      <c r="IK7" s="48">
        <f t="shared" si="14"/>
        <v>0.98244063680518068</v>
      </c>
      <c r="IL7" s="48">
        <f t="shared" si="14"/>
        <v>2.0672171833401016</v>
      </c>
      <c r="IM7" s="48">
        <f t="shared" si="14"/>
        <v>2.1024511098024083</v>
      </c>
      <c r="IN7" s="48">
        <f t="shared" si="14"/>
        <v>1.4928104575163399</v>
      </c>
      <c r="IO7" s="48">
        <f t="shared" si="14"/>
        <v>1.5921469284357188</v>
      </c>
      <c r="IP7" s="48">
        <f t="shared" si="14"/>
        <v>1.6379275855171043</v>
      </c>
      <c r="IQ7" s="48"/>
      <c r="IR7" s="48">
        <f t="shared" si="15"/>
        <v>2.4480847446326175</v>
      </c>
      <c r="IS7" s="48">
        <f t="shared" si="15"/>
        <v>1.789179104477612</v>
      </c>
      <c r="IT7" s="48">
        <f>IFERROR(DF7/(BV7+CN7),"")</f>
        <v>1.7034000945538015</v>
      </c>
      <c r="IU7" s="48"/>
      <c r="IV7" s="48">
        <f t="shared" si="16"/>
        <v>1.7034000945538015</v>
      </c>
      <c r="IW7" s="47" t="str">
        <f t="shared" si="17"/>
        <v/>
      </c>
      <c r="IX7" s="48" t="str">
        <f t="shared" si="17"/>
        <v/>
      </c>
      <c r="IY7" s="48" t="str">
        <f t="shared" si="17"/>
        <v/>
      </c>
      <c r="IZ7" s="48" t="str">
        <f t="shared" si="17"/>
        <v/>
      </c>
      <c r="JA7" s="48">
        <f t="shared" si="17"/>
        <v>0</v>
      </c>
      <c r="JB7" s="48">
        <f t="shared" si="17"/>
        <v>0</v>
      </c>
      <c r="JC7" s="48">
        <f t="shared" si="17"/>
        <v>0</v>
      </c>
      <c r="JD7" s="48">
        <f t="shared" si="17"/>
        <v>5.8658853166618021</v>
      </c>
      <c r="JE7" s="48">
        <f t="shared" si="17"/>
        <v>3.2324074505140112</v>
      </c>
      <c r="JF7" s="48">
        <f t="shared" si="17"/>
        <v>5.0040983606557381</v>
      </c>
      <c r="JG7" s="48">
        <f t="shared" si="17"/>
        <v>5.8648148148148147</v>
      </c>
      <c r="JH7" s="48">
        <f t="shared" si="17"/>
        <v>6.8656946694437995</v>
      </c>
      <c r="JI7" s="48"/>
      <c r="JJ7" s="48">
        <f t="shared" si="18"/>
        <v>3.3669615206011718</v>
      </c>
      <c r="JK7" s="48">
        <f t="shared" si="18"/>
        <v>4.7659906396255849</v>
      </c>
      <c r="JL7" s="48">
        <f t="shared" si="18"/>
        <v>4.8446652735481877</v>
      </c>
      <c r="JM7" s="48"/>
      <c r="JN7" s="48">
        <f t="shared" si="19"/>
        <v>4.8446652735481877</v>
      </c>
      <c r="JO7" s="47" t="str">
        <f t="shared" si="20"/>
        <v/>
      </c>
      <c r="JP7" s="48" t="str">
        <f t="shared" si="20"/>
        <v/>
      </c>
      <c r="JQ7" s="48" t="str">
        <f t="shared" si="20"/>
        <v/>
      </c>
      <c r="JR7" s="48" t="str">
        <f t="shared" si="20"/>
        <v/>
      </c>
      <c r="JS7" s="48" t="str">
        <f t="shared" si="20"/>
        <v/>
      </c>
      <c r="JT7" s="48" t="str">
        <f t="shared" si="20"/>
        <v/>
      </c>
      <c r="JU7" s="48" t="str">
        <f t="shared" si="20"/>
        <v/>
      </c>
      <c r="JV7" s="48">
        <f t="shared" si="20"/>
        <v>6.1108976765709997</v>
      </c>
      <c r="JW7" s="48">
        <f t="shared" si="20"/>
        <v>4.7662761234155306</v>
      </c>
      <c r="JX7" s="48">
        <f t="shared" si="20"/>
        <v>6.3451050788091052</v>
      </c>
      <c r="JY7" s="48">
        <f t="shared" si="20"/>
        <v>6.6297613365155117</v>
      </c>
      <c r="JZ7" s="48">
        <f t="shared" si="20"/>
        <v>6.6195390466885335</v>
      </c>
      <c r="KA7" s="48"/>
      <c r="KB7" s="48">
        <f t="shared" si="22"/>
        <v>4.5099291528643564</v>
      </c>
      <c r="KC7" s="48">
        <f t="shared" si="22"/>
        <v>5.8383733055265905</v>
      </c>
      <c r="KD7" s="48">
        <f>IFERROR(FH7/(DF7),"")</f>
        <v>5.9534608206485125</v>
      </c>
      <c r="KE7" s="48"/>
      <c r="KF7" s="48">
        <f t="shared" si="23"/>
        <v>5.9534608206485125</v>
      </c>
      <c r="KG7" s="49">
        <f t="shared" si="24"/>
        <v>12329</v>
      </c>
      <c r="KH7" s="50">
        <f>KG7/S7-1</f>
        <v>6.8463471704653722E-2</v>
      </c>
      <c r="KI7" s="49">
        <f t="shared" si="25"/>
        <v>661.346</v>
      </c>
      <c r="KJ7" s="50">
        <f>KI7/AK7-1</f>
        <v>3.1741029641185747E-2</v>
      </c>
      <c r="KK7" s="51">
        <f t="shared" si="26"/>
        <v>5.3641495660637521E-2</v>
      </c>
      <c r="KL7" s="52">
        <f t="shared" si="27"/>
        <v>6070.4879999999994</v>
      </c>
      <c r="KM7" s="52">
        <f t="shared" si="28"/>
        <v>626</v>
      </c>
      <c r="KN7" s="52">
        <f t="shared" si="29"/>
        <v>460</v>
      </c>
      <c r="KO7" s="53">
        <f t="shared" si="30"/>
        <v>1.7034000945538015</v>
      </c>
      <c r="KP7" s="54">
        <f>IS7</f>
        <v>1.789179104477612</v>
      </c>
      <c r="KQ7" s="53">
        <f t="shared" si="31"/>
        <v>4.8446652735481877</v>
      </c>
      <c r="KR7" s="54">
        <f>JK7</f>
        <v>4.7659906396255849</v>
      </c>
      <c r="KS7" s="53">
        <f t="shared" si="32"/>
        <v>5.9534608206485125</v>
      </c>
      <c r="KT7" s="54">
        <f>KC7</f>
        <v>5.8383733055265905</v>
      </c>
      <c r="KU7" s="55" t="s">
        <v>65</v>
      </c>
      <c r="KV7" s="56">
        <v>3</v>
      </c>
      <c r="KW7" s="37" t="s">
        <v>66</v>
      </c>
      <c r="KY7" s="37" t="s">
        <v>91</v>
      </c>
      <c r="KZ7" s="37" t="s">
        <v>92</v>
      </c>
      <c r="LA7" s="37" t="s">
        <v>93</v>
      </c>
      <c r="LB7" s="57" t="s">
        <v>94</v>
      </c>
      <c r="LD7" s="58"/>
      <c r="LE7" s="12"/>
    </row>
    <row r="8" spans="1:318" x14ac:dyDescent="0.25">
      <c r="A8" s="36" t="s">
        <v>95</v>
      </c>
      <c r="B8" s="37" t="s">
        <v>95</v>
      </c>
      <c r="C8" s="37" t="str">
        <f>INDEX('[1]Property Summary'!AB:AB,MATCH($A8,'[1]Property Summary'!$F:$F,FALSE))</f>
        <v>EHC Palm Beach</v>
      </c>
      <c r="D8" s="38"/>
      <c r="E8" s="39">
        <v>1300.046</v>
      </c>
      <c r="F8" s="39">
        <v>1565.9590000000001</v>
      </c>
      <c r="G8" s="39">
        <v>1353.8989999999999</v>
      </c>
      <c r="H8" s="39">
        <v>1125.0719999999999</v>
      </c>
      <c r="I8" s="39">
        <v>1300.0999999999999</v>
      </c>
      <c r="J8" s="39">
        <v>1490.1</v>
      </c>
      <c r="K8" s="39">
        <v>1760</v>
      </c>
      <c r="L8" s="39">
        <f>S8-SUM(I8:K8)</f>
        <v>1467</v>
      </c>
      <c r="M8" s="39">
        <v>3518</v>
      </c>
      <c r="N8" s="39">
        <v>4905</v>
      </c>
      <c r="O8" s="39">
        <v>5529</v>
      </c>
      <c r="P8" s="39">
        <v>5274</v>
      </c>
      <c r="R8" s="39">
        <f>SUM(E8:H8)</f>
        <v>5344.9760000000006</v>
      </c>
      <c r="S8" s="39">
        <v>6017.2</v>
      </c>
      <c r="T8" s="39">
        <f>SUM(M8:P8)</f>
        <v>19226</v>
      </c>
      <c r="V8" s="40">
        <f>SUM(M8:P8)</f>
        <v>19226</v>
      </c>
      <c r="W8" s="41">
        <v>213.505</v>
      </c>
      <c r="X8" s="39">
        <v>171.74100000000001</v>
      </c>
      <c r="Y8" s="39">
        <v>143.71299999999999</v>
      </c>
      <c r="Z8" s="39">
        <v>-571.96</v>
      </c>
      <c r="AA8" s="39">
        <v>-117.869</v>
      </c>
      <c r="AB8" s="39">
        <v>-165.42400000000001</v>
      </c>
      <c r="AC8" s="39">
        <v>-600.98699999999997</v>
      </c>
      <c r="AD8" s="39">
        <f>AK8-SUM(AA8:AC8)</f>
        <v>18.279999999999973</v>
      </c>
      <c r="AE8" s="39">
        <f>-647+196</f>
        <v>-451</v>
      </c>
      <c r="AF8" s="39">
        <f>209+203</f>
        <v>412</v>
      </c>
      <c r="AG8" s="39">
        <f>546+206</f>
        <v>752</v>
      </c>
      <c r="AH8" s="39">
        <f>60+141+65</f>
        <v>266</v>
      </c>
      <c r="AJ8" s="39">
        <f>SUM(W8:Z8)</f>
        <v>-43.00100000000009</v>
      </c>
      <c r="AK8" s="39">
        <f>-1333+467</f>
        <v>-866</v>
      </c>
      <c r="AL8" s="39">
        <f>SUM(AE8:AH8)</f>
        <v>979</v>
      </c>
      <c r="AN8" s="40">
        <f>SUM(AE8:AH8)</f>
        <v>979</v>
      </c>
      <c r="AO8" s="42">
        <f t="shared" si="0"/>
        <v>0.16422880421154326</v>
      </c>
      <c r="AP8" s="43">
        <f t="shared" si="0"/>
        <v>0.10967145372260705</v>
      </c>
      <c r="AQ8" s="43">
        <f t="shared" si="0"/>
        <v>0.10614750435593794</v>
      </c>
      <c r="AR8" s="43">
        <f t="shared" si="0"/>
        <v>-0.50837635280230964</v>
      </c>
      <c r="AS8" s="43">
        <f t="shared" si="0"/>
        <v>-9.0661487577878633E-2</v>
      </c>
      <c r="AT8" s="43">
        <f t="shared" si="0"/>
        <v>-0.11101536809610095</v>
      </c>
      <c r="AU8" s="43">
        <f t="shared" si="0"/>
        <v>-0.34146988636363634</v>
      </c>
      <c r="AV8" s="43">
        <f t="shared" si="0"/>
        <v>1.2460804362644835E-2</v>
      </c>
      <c r="AW8" s="43">
        <f t="shared" si="0"/>
        <v>-0.12819783968163728</v>
      </c>
      <c r="AX8" s="43">
        <f t="shared" si="0"/>
        <v>8.3995922528032618E-2</v>
      </c>
      <c r="AY8" s="43">
        <f t="shared" si="0"/>
        <v>0.13601012841381804</v>
      </c>
      <c r="AZ8" s="43">
        <f t="shared" si="0"/>
        <v>5.0436101630640877E-2</v>
      </c>
      <c r="BA8" s="43"/>
      <c r="BB8" s="43">
        <f t="shared" si="1"/>
        <v>-8.0451249921421695E-3</v>
      </c>
      <c r="BC8" s="43">
        <f t="shared" si="1"/>
        <v>-0.14392076048660507</v>
      </c>
      <c r="BD8" s="43">
        <f>IFERROR(AL8/T8,"")</f>
        <v>5.0920628315822322E-2</v>
      </c>
      <c r="BE8" s="43"/>
      <c r="BF8" s="44">
        <f t="shared" si="2"/>
        <v>5.0920628315822322E-2</v>
      </c>
      <c r="BG8" s="41">
        <v>157.096</v>
      </c>
      <c r="BH8" s="39">
        <v>143.98099999999999</v>
      </c>
      <c r="BI8" s="39">
        <v>81.370999999999995</v>
      </c>
      <c r="BJ8" s="39">
        <v>117.77800000000001</v>
      </c>
      <c r="BK8" s="39">
        <v>93.186000000000007</v>
      </c>
      <c r="BL8" s="39">
        <v>106.914</v>
      </c>
      <c r="BM8" s="39">
        <v>167.57499999999999</v>
      </c>
      <c r="BN8" s="39">
        <f>BU8-SUM(BK8:BM8)</f>
        <v>197.62499999999994</v>
      </c>
      <c r="BO8" s="39">
        <v>293</v>
      </c>
      <c r="BP8" s="39">
        <v>325</v>
      </c>
      <c r="BQ8" s="39">
        <v>348</v>
      </c>
      <c r="BR8" s="39">
        <v>344</v>
      </c>
      <c r="BT8" s="39">
        <f>SUM(BG8:BJ8)</f>
        <v>500.226</v>
      </c>
      <c r="BU8" s="39">
        <f>565.3</f>
        <v>565.29999999999995</v>
      </c>
      <c r="BV8" s="39">
        <f>SUM(BO8:BR8)</f>
        <v>1310</v>
      </c>
      <c r="BX8" s="40">
        <f>SUM(BO8:BR8)</f>
        <v>1310</v>
      </c>
      <c r="BY8" s="41">
        <v>114.56399999999999</v>
      </c>
      <c r="BZ8" s="39">
        <v>105.93300000000001</v>
      </c>
      <c r="CA8" s="39">
        <v>107.70699999999999</v>
      </c>
      <c r="CB8" s="39">
        <f>CL8-SUM(BY8:CA8)</f>
        <v>270.13200000000001</v>
      </c>
      <c r="CC8" s="39">
        <v>265.13200000000001</v>
      </c>
      <c r="CD8" s="39">
        <v>274.13</v>
      </c>
      <c r="CE8" s="39">
        <v>392.77199999999999</v>
      </c>
      <c r="CF8" s="39">
        <f>CM8-SUM(CC8:CE8)</f>
        <v>372.09300000000007</v>
      </c>
      <c r="CG8" s="39">
        <v>740</v>
      </c>
      <c r="CH8" s="39">
        <f>1507-CG8</f>
        <v>767</v>
      </c>
      <c r="CI8" s="39">
        <f>2287-CH8-CG8</f>
        <v>780</v>
      </c>
      <c r="CJ8" s="39">
        <v>760</v>
      </c>
      <c r="CL8" s="39">
        <v>598.33600000000001</v>
      </c>
      <c r="CM8" s="39">
        <v>1304.127</v>
      </c>
      <c r="CN8" s="39">
        <f>SUM(CG8:CJ8)</f>
        <v>3047</v>
      </c>
      <c r="CP8" s="40">
        <f>SUM(CG8:CJ8)</f>
        <v>3047</v>
      </c>
      <c r="CQ8" s="41">
        <f t="shared" si="3"/>
        <v>328.06899999999996</v>
      </c>
      <c r="CR8" s="39">
        <f t="shared" si="3"/>
        <v>277.67400000000004</v>
      </c>
      <c r="CS8" s="39">
        <f t="shared" si="3"/>
        <v>251.42</v>
      </c>
      <c r="CT8" s="39">
        <f t="shared" si="3"/>
        <v>-301.82800000000003</v>
      </c>
      <c r="CU8" s="39">
        <f t="shared" si="3"/>
        <v>147.26300000000001</v>
      </c>
      <c r="CV8" s="39">
        <f t="shared" si="3"/>
        <v>108.70599999999999</v>
      </c>
      <c r="CW8" s="39">
        <f t="shared" si="3"/>
        <v>-208.21499999999997</v>
      </c>
      <c r="CX8" s="39">
        <f t="shared" si="3"/>
        <v>390.37300000000005</v>
      </c>
      <c r="CY8" s="39">
        <f t="shared" si="3"/>
        <v>289</v>
      </c>
      <c r="CZ8" s="39">
        <f t="shared" si="3"/>
        <v>1179</v>
      </c>
      <c r="DA8" s="39">
        <f t="shared" si="3"/>
        <v>1532</v>
      </c>
      <c r="DB8" s="39">
        <f t="shared" si="3"/>
        <v>1026</v>
      </c>
      <c r="DD8" s="39">
        <f t="shared" si="4"/>
        <v>555.33499999999992</v>
      </c>
      <c r="DE8" s="39">
        <f t="shared" si="4"/>
        <v>438.12699999999995</v>
      </c>
      <c r="DF8" s="39">
        <f>IF(AL8+CN8=0,"",AL8+CN8)</f>
        <v>4026</v>
      </c>
      <c r="DH8" s="39">
        <f t="shared" si="5"/>
        <v>4026</v>
      </c>
      <c r="DI8" s="41">
        <f>DJ8</f>
        <v>9422.1200000000008</v>
      </c>
      <c r="DJ8" s="39">
        <f>DK8</f>
        <v>9422.1200000000008</v>
      </c>
      <c r="DK8" s="39">
        <f>DL8</f>
        <v>9422.1200000000008</v>
      </c>
      <c r="DL8" s="39">
        <v>9422.1200000000008</v>
      </c>
      <c r="DM8" s="39">
        <v>9472.1129999999994</v>
      </c>
      <c r="DN8" s="39">
        <v>10266.213</v>
      </c>
      <c r="DO8" s="39">
        <v>10261.355</v>
      </c>
      <c r="DP8" s="39">
        <f>299.102+9949.454</f>
        <v>10248.556</v>
      </c>
      <c r="DQ8" s="39">
        <f>498+411+10832+7150</f>
        <v>18891</v>
      </c>
      <c r="DR8" s="39">
        <f>511+428+10743+7037</f>
        <v>18719</v>
      </c>
      <c r="DS8" s="39">
        <f>524+511+10647+8084</f>
        <v>19766</v>
      </c>
      <c r="DT8" s="39">
        <f>10542+8068+538+547</f>
        <v>19695</v>
      </c>
      <c r="DV8" s="39">
        <f>DL8</f>
        <v>9422.1200000000008</v>
      </c>
      <c r="DW8" s="39">
        <f>DP8</f>
        <v>10248.556</v>
      </c>
      <c r="DX8" s="39">
        <f>DT8</f>
        <v>19695</v>
      </c>
      <c r="DZ8" s="40">
        <f>DT8</f>
        <v>19695</v>
      </c>
      <c r="EA8" s="45">
        <f>EB8</f>
        <v>5160.982</v>
      </c>
      <c r="EB8" s="46">
        <f>EC8</f>
        <v>5160.982</v>
      </c>
      <c r="EC8" s="46">
        <f>ED8</f>
        <v>5160.982</v>
      </c>
      <c r="ED8" s="46">
        <v>5160.982</v>
      </c>
      <c r="EE8" s="46">
        <v>5563.4120000000003</v>
      </c>
      <c r="EF8" s="46">
        <v>6792.7759999999998</v>
      </c>
      <c r="EG8" s="46">
        <v>6881.4979999999996</v>
      </c>
      <c r="EH8" s="46">
        <f>3973.245+2575+405+15+10+6+6</f>
        <v>6990.2449999999999</v>
      </c>
      <c r="EI8" s="46">
        <f>226+4032+375+792+15+9+4121+83+6+5</f>
        <v>9664</v>
      </c>
      <c r="EJ8" s="46">
        <f>600+3965+2926+335+1248+21+9+4038+85+3</f>
        <v>13230</v>
      </c>
      <c r="EK8" s="46">
        <f>756+909+3999+3093+295+1105+21+8+3902+86+2</f>
        <v>14176</v>
      </c>
      <c r="EL8" s="46">
        <f>898+1547+4018+3254+265+1166+21+9+3654+88+1</f>
        <v>14921</v>
      </c>
      <c r="EM8" s="46"/>
      <c r="EN8" s="46">
        <f>ED8</f>
        <v>5160.982</v>
      </c>
      <c r="EO8" s="46">
        <f>EH8</f>
        <v>6990.2449999999999</v>
      </c>
      <c r="EP8" s="46">
        <f>EL8</f>
        <v>14921</v>
      </c>
      <c r="EQ8" s="46"/>
      <c r="ER8" s="40">
        <f>EL8</f>
        <v>14921</v>
      </c>
      <c r="ES8" s="45">
        <f t="shared" si="7"/>
        <v>14583.102000000001</v>
      </c>
      <c r="ET8" s="46">
        <f t="shared" si="7"/>
        <v>14583.102000000001</v>
      </c>
      <c r="EU8" s="46">
        <f t="shared" si="7"/>
        <v>14583.102000000001</v>
      </c>
      <c r="EV8" s="46">
        <f t="shared" si="7"/>
        <v>14583.102000000001</v>
      </c>
      <c r="EW8" s="46">
        <f t="shared" si="7"/>
        <v>15035.525</v>
      </c>
      <c r="EX8" s="46">
        <f t="shared" si="7"/>
        <v>17058.989000000001</v>
      </c>
      <c r="EY8" s="46">
        <f t="shared" si="7"/>
        <v>17142.852999999999</v>
      </c>
      <c r="EZ8" s="46">
        <f t="shared" si="7"/>
        <v>17238.800999999999</v>
      </c>
      <c r="FA8" s="46">
        <f t="shared" si="7"/>
        <v>28555</v>
      </c>
      <c r="FB8" s="46">
        <f t="shared" si="7"/>
        <v>31949</v>
      </c>
      <c r="FC8" s="46">
        <f t="shared" si="7"/>
        <v>33942</v>
      </c>
      <c r="FD8" s="46">
        <f t="shared" si="7"/>
        <v>34616</v>
      </c>
      <c r="FE8" s="46"/>
      <c r="FF8" s="46">
        <f t="shared" si="9"/>
        <v>14583.102000000001</v>
      </c>
      <c r="FG8" s="46">
        <f t="shared" si="9"/>
        <v>17238.800999999999</v>
      </c>
      <c r="FH8" s="46">
        <f>IF(DX8+EP8=0,"",DX8+EP8)</f>
        <v>34616</v>
      </c>
      <c r="FI8" s="46"/>
      <c r="FJ8" s="46">
        <f t="shared" si="10"/>
        <v>34616</v>
      </c>
      <c r="FK8" s="45">
        <f>FL8</f>
        <v>68.572999999999993</v>
      </c>
      <c r="FL8" s="46">
        <f>FM8</f>
        <v>68.572999999999993</v>
      </c>
      <c r="FM8" s="46">
        <f>FN8</f>
        <v>68.572999999999993</v>
      </c>
      <c r="FN8" s="46">
        <v>68.572999999999993</v>
      </c>
      <c r="FO8" s="46">
        <v>137.49700000000001</v>
      </c>
      <c r="FP8" s="46">
        <v>31.102</v>
      </c>
      <c r="FQ8" s="46">
        <v>60.862000000000002</v>
      </c>
      <c r="FR8" s="46">
        <v>245</v>
      </c>
      <c r="FS8" s="46">
        <v>210</v>
      </c>
      <c r="FT8" s="46">
        <v>442</v>
      </c>
      <c r="FU8" s="46">
        <v>114</v>
      </c>
      <c r="FV8" s="46">
        <v>60</v>
      </c>
      <c r="FW8" s="46"/>
      <c r="FX8" s="46">
        <f>FN8</f>
        <v>68.572999999999993</v>
      </c>
      <c r="FY8" s="46">
        <f>FR8</f>
        <v>245</v>
      </c>
      <c r="FZ8" s="46">
        <f>FV8</f>
        <v>60</v>
      </c>
      <c r="GA8" s="46"/>
      <c r="GB8" s="40">
        <f>FV8</f>
        <v>60</v>
      </c>
      <c r="GC8" s="45">
        <v>105.874</v>
      </c>
      <c r="GD8" s="46">
        <v>-70.385999999999996</v>
      </c>
      <c r="GE8" s="46">
        <v>-611.27800000000002</v>
      </c>
      <c r="GF8" s="46">
        <v>45.633000000000003</v>
      </c>
      <c r="GG8" s="46">
        <v>-105.96899999999999</v>
      </c>
      <c r="GH8" s="46">
        <v>-163.95099999999999</v>
      </c>
      <c r="GI8" s="46">
        <v>-108.03400000000001</v>
      </c>
      <c r="GJ8" s="46">
        <f>GQ8-SUM(GG8:GI8)</f>
        <v>-77.746000000000038</v>
      </c>
      <c r="GK8" s="46">
        <v>-73</v>
      </c>
      <c r="GL8" s="46">
        <f>-463-GK8</f>
        <v>-390</v>
      </c>
      <c r="GM8" s="46">
        <f>-339-GL8-GK8</f>
        <v>124</v>
      </c>
      <c r="GN8" s="46">
        <f>GR8-SUM(GK8:GM8)</f>
        <v>506.13</v>
      </c>
      <c r="GO8" s="46"/>
      <c r="GP8" s="46">
        <f>SUM(GC8:GF8)</f>
        <v>-530.15699999999993</v>
      </c>
      <c r="GQ8" s="46">
        <v>-455.7</v>
      </c>
      <c r="GR8" s="46">
        <v>167.13</v>
      </c>
      <c r="GS8" s="46"/>
      <c r="GT8" s="40">
        <f>SUM(GJ8:GM8)</f>
        <v>-416.74600000000009</v>
      </c>
      <c r="GU8" s="45">
        <v>52.417999999999999</v>
      </c>
      <c r="GV8" s="46">
        <v>-30.776</v>
      </c>
      <c r="GW8" s="46">
        <v>0</v>
      </c>
      <c r="GX8" s="46">
        <v>18.96</v>
      </c>
      <c r="GY8" s="46">
        <v>32.462000000000003</v>
      </c>
      <c r="GZ8" s="46">
        <v>26.417999999999999</v>
      </c>
      <c r="HA8" s="46">
        <v>26.641999999999999</v>
      </c>
      <c r="HB8" s="46">
        <f>HI8-SUM(GY8:HA8)</f>
        <v>-25.262000000000008</v>
      </c>
      <c r="HC8" s="46">
        <v>13</v>
      </c>
      <c r="HD8" s="46">
        <f>79-HC8</f>
        <v>66</v>
      </c>
      <c r="HE8" s="46">
        <f>159-HD8-HC8</f>
        <v>80</v>
      </c>
      <c r="HF8" s="46">
        <f>278-HE8-HD8-HC8</f>
        <v>119</v>
      </c>
      <c r="HG8" s="46"/>
      <c r="HH8" s="46">
        <f>SUM(GU8:GX8)</f>
        <v>40.602000000000004</v>
      </c>
      <c r="HI8" s="46">
        <v>60.26</v>
      </c>
      <c r="HJ8" s="46">
        <v>278</v>
      </c>
      <c r="HK8" s="46"/>
      <c r="HL8" s="40">
        <f>SUM(HC8:HF8)</f>
        <v>278</v>
      </c>
      <c r="HM8" s="45">
        <f t="shared" si="11"/>
        <v>53.455999999999996</v>
      </c>
      <c r="HN8" s="46">
        <f t="shared" si="11"/>
        <v>-39.61</v>
      </c>
      <c r="HO8" s="46">
        <f t="shared" si="11"/>
        <v>-611.27800000000002</v>
      </c>
      <c r="HP8" s="46">
        <f t="shared" si="11"/>
        <v>26.673000000000002</v>
      </c>
      <c r="HQ8" s="46">
        <f t="shared" si="11"/>
        <v>-138.43099999999998</v>
      </c>
      <c r="HR8" s="46">
        <f t="shared" si="11"/>
        <v>-190.369</v>
      </c>
      <c r="HS8" s="46">
        <f t="shared" si="11"/>
        <v>-134.67600000000002</v>
      </c>
      <c r="HT8" s="46">
        <f t="shared" si="11"/>
        <v>-52.48400000000003</v>
      </c>
      <c r="HU8" s="46">
        <f t="shared" si="11"/>
        <v>-86</v>
      </c>
      <c r="HV8" s="46">
        <f t="shared" si="11"/>
        <v>-456</v>
      </c>
      <c r="HW8" s="46">
        <f t="shared" si="11"/>
        <v>44</v>
      </c>
      <c r="HX8" s="46">
        <f t="shared" si="11"/>
        <v>387.13</v>
      </c>
      <c r="HY8" s="46"/>
      <c r="HZ8" s="46">
        <f t="shared" si="12"/>
        <v>-570.7589999999999</v>
      </c>
      <c r="IA8" s="46">
        <f t="shared" si="12"/>
        <v>-515.96</v>
      </c>
      <c r="IB8" s="46">
        <f>IF(GR8-HJ8=0,"",GR8-HJ8)</f>
        <v>-110.87</v>
      </c>
      <c r="IC8" s="46"/>
      <c r="ID8" s="46">
        <f t="shared" si="13"/>
        <v>-694.74600000000009</v>
      </c>
      <c r="IE8" s="47">
        <f t="shared" si="14"/>
        <v>1.2076455863947582</v>
      </c>
      <c r="IF8" s="48">
        <f t="shared" si="14"/>
        <v>1.1110782109045514</v>
      </c>
      <c r="IG8" s="48">
        <f t="shared" si="14"/>
        <v>1.3297157786733518</v>
      </c>
      <c r="IH8" s="48">
        <f t="shared" si="14"/>
        <v>-0.77808770075532985</v>
      </c>
      <c r="II8" s="48">
        <f t="shared" si="14"/>
        <v>0.41098409792419027</v>
      </c>
      <c r="IJ8" s="48">
        <f t="shared" si="14"/>
        <v>0.28528463904430984</v>
      </c>
      <c r="IK8" s="48">
        <f t="shared" si="14"/>
        <v>-0.37158225171188564</v>
      </c>
      <c r="IL8" s="48">
        <f t="shared" si="14"/>
        <v>0.68520390789829355</v>
      </c>
      <c r="IM8" s="48">
        <f t="shared" si="14"/>
        <v>0.2797676669893514</v>
      </c>
      <c r="IN8" s="48">
        <f t="shared" si="14"/>
        <v>1.0796703296703296</v>
      </c>
      <c r="IO8" s="48">
        <f t="shared" si="14"/>
        <v>1.3581560283687943</v>
      </c>
      <c r="IP8" s="48">
        <f t="shared" si="14"/>
        <v>0.92934782608695654</v>
      </c>
      <c r="IQ8" s="48"/>
      <c r="IR8" s="48">
        <f t="shared" si="15"/>
        <v>0.50551084053517237</v>
      </c>
      <c r="IS8" s="48">
        <f t="shared" si="15"/>
        <v>0.23436432660916953</v>
      </c>
      <c r="IT8" s="48">
        <f>IFERROR(DF8/(BV8+CN8),"")</f>
        <v>0.9240302960752812</v>
      </c>
      <c r="IU8" s="48"/>
      <c r="IV8" s="48">
        <f t="shared" si="16"/>
        <v>0.9240302960752812</v>
      </c>
      <c r="IW8" s="47">
        <f t="shared" si="17"/>
        <v>6.0431629235849282</v>
      </c>
      <c r="IX8" s="48">
        <f t="shared" si="17"/>
        <v>7.5127401144747026</v>
      </c>
      <c r="IY8" s="48">
        <f t="shared" si="17"/>
        <v>8.9779317111186892</v>
      </c>
      <c r="IZ8" s="48">
        <f t="shared" si="17"/>
        <v>-2.2558317015175886</v>
      </c>
      <c r="JA8" s="48">
        <f t="shared" si="17"/>
        <v>-11.799989819206068</v>
      </c>
      <c r="JB8" s="48">
        <f t="shared" si="17"/>
        <v>-10.265705097204759</v>
      </c>
      <c r="JC8" s="48">
        <f t="shared" si="17"/>
        <v>-2.8625818861306485</v>
      </c>
      <c r="JD8" s="48">
        <f t="shared" si="17"/>
        <v>95.59963074398263</v>
      </c>
      <c r="JE8" s="48">
        <f t="shared" si="17"/>
        <v>-5.3569844789356988</v>
      </c>
      <c r="JF8" s="48">
        <f t="shared" si="17"/>
        <v>8.0279126213592225</v>
      </c>
      <c r="JG8" s="48">
        <f t="shared" si="17"/>
        <v>4.7127659574468082</v>
      </c>
      <c r="JH8" s="48">
        <f t="shared" si="17"/>
        <v>14.023496240601503</v>
      </c>
      <c r="JI8" s="48"/>
      <c r="JJ8" s="48">
        <f t="shared" si="18"/>
        <v>-120.02004604544055</v>
      </c>
      <c r="JK8" s="48">
        <f t="shared" si="18"/>
        <v>-8.071876443418013</v>
      </c>
      <c r="JL8" s="48">
        <f t="shared" si="18"/>
        <v>15.241062308478039</v>
      </c>
      <c r="JM8" s="48"/>
      <c r="JN8" s="48">
        <f t="shared" si="19"/>
        <v>15.241062308478039</v>
      </c>
      <c r="JO8" s="47">
        <f t="shared" si="20"/>
        <v>11.112831447043154</v>
      </c>
      <c r="JP8" s="48">
        <f t="shared" si="20"/>
        <v>13.12969705481968</v>
      </c>
      <c r="JQ8" s="48">
        <f t="shared" si="20"/>
        <v>14.500737809243498</v>
      </c>
      <c r="JR8" s="48">
        <f t="shared" si="20"/>
        <v>-12.078983725830605</v>
      </c>
      <c r="JS8" s="48">
        <f t="shared" si="20"/>
        <v>25.524953654346305</v>
      </c>
      <c r="JT8" s="48">
        <f t="shared" si="20"/>
        <v>39.231939819329206</v>
      </c>
      <c r="JU8" s="48">
        <f t="shared" si="20"/>
        <v>-20.583114809211633</v>
      </c>
      <c r="JV8" s="48">
        <f t="shared" si="20"/>
        <v>11.039954735599029</v>
      </c>
      <c r="JW8" s="48">
        <f t="shared" si="20"/>
        <v>24.701557093425606</v>
      </c>
      <c r="JX8" s="48">
        <f t="shared" si="20"/>
        <v>6.7745971162001695</v>
      </c>
      <c r="JY8" s="48">
        <f t="shared" si="20"/>
        <v>5.5388381201044385</v>
      </c>
      <c r="JZ8" s="48">
        <f t="shared" si="20"/>
        <v>8.4346978557504872</v>
      </c>
      <c r="KA8" s="48"/>
      <c r="KB8" s="48">
        <f t="shared" si="22"/>
        <v>26.260008823502936</v>
      </c>
      <c r="KC8" s="48">
        <f t="shared" si="22"/>
        <v>39.34658443784565</v>
      </c>
      <c r="KD8" s="48">
        <f>IFERROR(FH8/(DF8),"")</f>
        <v>8.5981122702434174</v>
      </c>
      <c r="KE8" s="48"/>
      <c r="KF8" s="48">
        <f t="shared" si="23"/>
        <v>8.5981122702434174</v>
      </c>
      <c r="KG8" s="49">
        <f t="shared" si="24"/>
        <v>19226</v>
      </c>
      <c r="KH8" s="50">
        <f>KG8/S8-1</f>
        <v>2.1951738350063152</v>
      </c>
      <c r="KI8" s="49">
        <f t="shared" si="25"/>
        <v>979</v>
      </c>
      <c r="KJ8" s="50">
        <f>KI8/AK8-1</f>
        <v>-2.1304849884526558</v>
      </c>
      <c r="KK8" s="51">
        <f t="shared" si="26"/>
        <v>5.0920628315822322E-2</v>
      </c>
      <c r="KL8" s="52">
        <f t="shared" si="27"/>
        <v>34616</v>
      </c>
      <c r="KM8" s="52">
        <f t="shared" si="28"/>
        <v>60</v>
      </c>
      <c r="KN8" s="52">
        <f t="shared" si="29"/>
        <v>-416.74600000000009</v>
      </c>
      <c r="KO8" s="53">
        <f t="shared" si="30"/>
        <v>0.9240302960752812</v>
      </c>
      <c r="KP8" s="54">
        <f>IS8</f>
        <v>0.23436432660916953</v>
      </c>
      <c r="KQ8" s="53">
        <f t="shared" si="31"/>
        <v>15.241062308478039</v>
      </c>
      <c r="KR8" s="54">
        <f>JK8</f>
        <v>-8.071876443418013</v>
      </c>
      <c r="KS8" s="53">
        <f t="shared" si="32"/>
        <v>8.5981122702434174</v>
      </c>
      <c r="KT8" s="54">
        <f>KC8</f>
        <v>39.34658443784565</v>
      </c>
      <c r="KU8" s="55" t="s">
        <v>96</v>
      </c>
      <c r="KV8" s="56">
        <v>3</v>
      </c>
      <c r="KW8" s="37" t="s">
        <v>66</v>
      </c>
      <c r="KY8" s="37" t="s">
        <v>97</v>
      </c>
      <c r="KZ8" s="37" t="s">
        <v>98</v>
      </c>
      <c r="LA8" s="37" t="s">
        <v>99</v>
      </c>
      <c r="LB8" s="57" t="s">
        <v>100</v>
      </c>
      <c r="LC8" s="37" t="s">
        <v>101</v>
      </c>
      <c r="LD8" s="58" t="s">
        <v>102</v>
      </c>
      <c r="LE8" s="12" t="s">
        <v>103</v>
      </c>
      <c r="LF8" s="59" t="s">
        <v>104</v>
      </c>
    </row>
    <row r="9" spans="1:318" x14ac:dyDescent="0.25">
      <c r="A9" s="36" t="s">
        <v>105</v>
      </c>
      <c r="B9" s="37" t="s">
        <v>106</v>
      </c>
      <c r="C9" s="37" t="str">
        <f>INDEX('[1]Property Summary'!AB:AB,MATCH($A9,'[1]Property Summary'!$F:$F,FALSE))</f>
        <v>PC Acquisition</v>
      </c>
      <c r="D9" s="38"/>
      <c r="R9" s="39">
        <v>30603800</v>
      </c>
      <c r="AJ9" s="39">
        <f>1788300+841000</f>
        <v>2629300</v>
      </c>
      <c r="AO9" s="42" t="str">
        <f t="shared" si="0"/>
        <v/>
      </c>
      <c r="AP9" s="43" t="str">
        <f t="shared" si="0"/>
        <v/>
      </c>
      <c r="AQ9" s="43" t="str">
        <f t="shared" si="0"/>
        <v/>
      </c>
      <c r="AR9" s="43" t="str">
        <f t="shared" si="0"/>
        <v/>
      </c>
      <c r="AS9" s="43" t="str">
        <f t="shared" si="0"/>
        <v/>
      </c>
      <c r="AT9" s="43" t="str">
        <f t="shared" si="0"/>
        <v/>
      </c>
      <c r="AU9" s="43" t="str">
        <f t="shared" si="0"/>
        <v/>
      </c>
      <c r="AV9" s="43" t="str">
        <f t="shared" si="0"/>
        <v/>
      </c>
      <c r="AW9" s="43"/>
      <c r="AX9" s="43"/>
      <c r="AY9" s="43"/>
      <c r="AZ9" s="43"/>
      <c r="BA9" s="43"/>
      <c r="BB9" s="43">
        <f t="shared" si="1"/>
        <v>8.591416752168031E-2</v>
      </c>
      <c r="BC9" s="43" t="str">
        <f t="shared" si="1"/>
        <v/>
      </c>
      <c r="BD9" s="43"/>
      <c r="BE9" s="43"/>
      <c r="BF9" s="44" t="str">
        <f t="shared" si="2"/>
        <v/>
      </c>
      <c r="BT9" s="39">
        <v>106800</v>
      </c>
      <c r="CL9" s="39">
        <f>1713000+20000</f>
        <v>1733000</v>
      </c>
      <c r="CQ9" s="41" t="str">
        <f t="shared" si="3"/>
        <v/>
      </c>
      <c r="CR9" s="39" t="str">
        <f t="shared" si="3"/>
        <v/>
      </c>
      <c r="CS9" s="39" t="str">
        <f t="shared" si="3"/>
        <v/>
      </c>
      <c r="CT9" s="39" t="str">
        <f t="shared" si="3"/>
        <v/>
      </c>
      <c r="CU9" s="39" t="str">
        <f t="shared" si="3"/>
        <v/>
      </c>
      <c r="CV9" s="39" t="str">
        <f t="shared" si="3"/>
        <v/>
      </c>
      <c r="CW9" s="39" t="str">
        <f t="shared" si="3"/>
        <v/>
      </c>
      <c r="CX9" s="39" t="str">
        <f t="shared" si="3"/>
        <v/>
      </c>
      <c r="DD9" s="39">
        <f t="shared" si="4"/>
        <v>4362300</v>
      </c>
      <c r="DE9" s="39" t="str">
        <f t="shared" si="4"/>
        <v/>
      </c>
      <c r="DH9" s="39" t="str">
        <f t="shared" si="5"/>
        <v/>
      </c>
      <c r="DV9" s="39">
        <f>1513000+5447600</f>
        <v>6960600</v>
      </c>
      <c r="DZ9" s="40">
        <f>DV9</f>
        <v>6960600</v>
      </c>
      <c r="EA9" s="45"/>
      <c r="EB9" s="46"/>
      <c r="EC9" s="46"/>
      <c r="ED9" s="46"/>
      <c r="EE9" s="46"/>
      <c r="EF9" s="46"/>
      <c r="EG9" s="46"/>
      <c r="EH9" s="46"/>
      <c r="EI9" s="46"/>
      <c r="EJ9" s="46"/>
      <c r="EK9" s="46"/>
      <c r="EL9" s="46"/>
      <c r="EM9" s="46"/>
      <c r="EN9" s="46">
        <f>3426300</f>
        <v>3426300</v>
      </c>
      <c r="EO9" s="46"/>
      <c r="EP9" s="46"/>
      <c r="EQ9" s="46"/>
      <c r="ER9" s="40">
        <f>EN9</f>
        <v>3426300</v>
      </c>
      <c r="ES9" s="45" t="str">
        <f t="shared" si="7"/>
        <v/>
      </c>
      <c r="ET9" s="46" t="str">
        <f t="shared" si="7"/>
        <v/>
      </c>
      <c r="EU9" s="46" t="str">
        <f t="shared" si="7"/>
        <v/>
      </c>
      <c r="EV9" s="46" t="str">
        <f t="shared" si="7"/>
        <v/>
      </c>
      <c r="EW9" s="46" t="str">
        <f t="shared" si="7"/>
        <v/>
      </c>
      <c r="EX9" s="46" t="str">
        <f t="shared" si="7"/>
        <v/>
      </c>
      <c r="EY9" s="46" t="str">
        <f t="shared" si="7"/>
        <v/>
      </c>
      <c r="EZ9" s="46" t="str">
        <f t="shared" si="7"/>
        <v/>
      </c>
      <c r="FA9" s="46"/>
      <c r="FB9" s="46"/>
      <c r="FC9" s="46"/>
      <c r="FD9" s="46"/>
      <c r="FE9" s="46"/>
      <c r="FF9" s="46">
        <f t="shared" si="9"/>
        <v>10386900</v>
      </c>
      <c r="FG9" s="46" t="str">
        <f t="shared" si="9"/>
        <v/>
      </c>
      <c r="FH9" s="46"/>
      <c r="FI9" s="46"/>
      <c r="FJ9" s="46">
        <f t="shared" si="10"/>
        <v>10386900</v>
      </c>
      <c r="FK9" s="45"/>
      <c r="FL9" s="46"/>
      <c r="FM9" s="46"/>
      <c r="FN9" s="46"/>
      <c r="FO9" s="46"/>
      <c r="FP9" s="46"/>
      <c r="FQ9" s="46"/>
      <c r="FR9" s="46"/>
      <c r="FS9" s="46"/>
      <c r="FT9" s="46"/>
      <c r="FU9" s="46"/>
      <c r="FV9" s="46"/>
      <c r="FW9" s="46"/>
      <c r="FX9" s="46">
        <v>684900</v>
      </c>
      <c r="FY9" s="46"/>
      <c r="FZ9" s="46"/>
      <c r="GA9" s="46"/>
      <c r="GB9" s="40">
        <f>FX9</f>
        <v>684900</v>
      </c>
      <c r="GC9" s="45"/>
      <c r="GD9" s="46"/>
      <c r="GE9" s="46"/>
      <c r="GF9" s="46"/>
      <c r="GG9" s="46"/>
      <c r="GH9" s="46"/>
      <c r="GI9" s="46"/>
      <c r="GJ9" s="46"/>
      <c r="GK9" s="46"/>
      <c r="GL9" s="46"/>
      <c r="GM9" s="46"/>
      <c r="GN9" s="46"/>
      <c r="GO9" s="46"/>
      <c r="GP9" s="46">
        <v>2684500</v>
      </c>
      <c r="GQ9" s="46"/>
      <c r="GR9" s="46"/>
      <c r="GS9" s="46"/>
      <c r="GT9" s="40"/>
      <c r="GU9" s="45"/>
      <c r="GV9" s="46"/>
      <c r="GW9" s="46"/>
      <c r="GX9" s="46"/>
      <c r="GY9" s="46"/>
      <c r="GZ9" s="46"/>
      <c r="HA9" s="46"/>
      <c r="HB9" s="46"/>
      <c r="HC9" s="46"/>
      <c r="HD9" s="46"/>
      <c r="HE9" s="46"/>
      <c r="HF9" s="46"/>
      <c r="HG9" s="46"/>
      <c r="HH9" s="46">
        <v>2101300</v>
      </c>
      <c r="HI9" s="46"/>
      <c r="HJ9" s="46"/>
      <c r="HK9" s="46"/>
      <c r="HL9" s="40"/>
      <c r="HM9" s="45" t="str">
        <f t="shared" si="11"/>
        <v/>
      </c>
      <c r="HN9" s="46" t="str">
        <f t="shared" si="11"/>
        <v/>
      </c>
      <c r="HO9" s="46" t="str">
        <f t="shared" si="11"/>
        <v/>
      </c>
      <c r="HP9" s="46" t="str">
        <f t="shared" si="11"/>
        <v/>
      </c>
      <c r="HQ9" s="46" t="str">
        <f t="shared" si="11"/>
        <v/>
      </c>
      <c r="HR9" s="46" t="str">
        <f t="shared" si="11"/>
        <v/>
      </c>
      <c r="HS9" s="46" t="str">
        <f t="shared" si="11"/>
        <v/>
      </c>
      <c r="HT9" s="46" t="str">
        <f t="shared" si="11"/>
        <v/>
      </c>
      <c r="HU9" s="46"/>
      <c r="HV9" s="46"/>
      <c r="HW9" s="46"/>
      <c r="HX9" s="46"/>
      <c r="HY9" s="46"/>
      <c r="HZ9" s="46">
        <f t="shared" si="12"/>
        <v>583200</v>
      </c>
      <c r="IA9" s="46" t="str">
        <f t="shared" si="12"/>
        <v/>
      </c>
      <c r="IB9" s="46"/>
      <c r="IC9" s="46"/>
      <c r="ID9" s="46" t="str">
        <f t="shared" si="13"/>
        <v/>
      </c>
      <c r="IE9" s="47" t="str">
        <f t="shared" si="14"/>
        <v/>
      </c>
      <c r="IF9" s="48" t="str">
        <f t="shared" si="14"/>
        <v/>
      </c>
      <c r="IG9" s="48" t="str">
        <f t="shared" si="14"/>
        <v/>
      </c>
      <c r="IH9" s="48" t="str">
        <f t="shared" si="14"/>
        <v/>
      </c>
      <c r="II9" s="48" t="str">
        <f t="shared" si="14"/>
        <v/>
      </c>
      <c r="IJ9" s="48" t="str">
        <f t="shared" si="14"/>
        <v/>
      </c>
      <c r="IK9" s="48" t="str">
        <f t="shared" si="14"/>
        <v/>
      </c>
      <c r="IL9" s="48" t="str">
        <f t="shared" si="14"/>
        <v/>
      </c>
      <c r="IM9" s="48"/>
      <c r="IN9" s="48"/>
      <c r="IO9" s="48"/>
      <c r="IP9" s="48"/>
      <c r="IQ9" s="48"/>
      <c r="IR9" s="48">
        <f t="shared" si="15"/>
        <v>2.3710729427111641</v>
      </c>
      <c r="IS9" s="48" t="str">
        <f t="shared" si="15"/>
        <v/>
      </c>
      <c r="IT9" s="48"/>
      <c r="IU9" s="48"/>
      <c r="IV9" s="48" t="str">
        <f t="shared" si="16"/>
        <v/>
      </c>
      <c r="IW9" s="47" t="str">
        <f t="shared" si="17"/>
        <v/>
      </c>
      <c r="IX9" s="48" t="str">
        <f t="shared" si="17"/>
        <v/>
      </c>
      <c r="IY9" s="48" t="str">
        <f t="shared" si="17"/>
        <v/>
      </c>
      <c r="IZ9" s="48" t="str">
        <f t="shared" si="17"/>
        <v/>
      </c>
      <c r="JA9" s="48" t="str">
        <f t="shared" si="17"/>
        <v/>
      </c>
      <c r="JB9" s="48" t="str">
        <f t="shared" si="17"/>
        <v/>
      </c>
      <c r="JC9" s="48" t="str">
        <f t="shared" si="17"/>
        <v/>
      </c>
      <c r="JD9" s="48" t="str">
        <f t="shared" si="17"/>
        <v/>
      </c>
      <c r="JE9" s="48" t="str">
        <f t="shared" si="17"/>
        <v/>
      </c>
      <c r="JF9" s="48" t="str">
        <f t="shared" si="17"/>
        <v/>
      </c>
      <c r="JG9" s="48" t="str">
        <f t="shared" si="17"/>
        <v/>
      </c>
      <c r="JH9" s="48" t="str">
        <f t="shared" si="17"/>
        <v/>
      </c>
      <c r="JI9" s="48"/>
      <c r="JJ9" s="48">
        <f t="shared" si="18"/>
        <v>1.3031225040885406</v>
      </c>
      <c r="JK9" s="48" t="str">
        <f t="shared" si="18"/>
        <v/>
      </c>
      <c r="JL9" s="48" t="str">
        <f t="shared" si="18"/>
        <v/>
      </c>
      <c r="JM9" s="48"/>
      <c r="JN9" s="48" t="str">
        <f t="shared" si="19"/>
        <v/>
      </c>
      <c r="JO9" s="47" t="str">
        <f t="shared" si="20"/>
        <v/>
      </c>
      <c r="JP9" s="48" t="str">
        <f t="shared" si="20"/>
        <v/>
      </c>
      <c r="JQ9" s="48" t="str">
        <f t="shared" si="20"/>
        <v/>
      </c>
      <c r="JR9" s="48" t="str">
        <f t="shared" si="20"/>
        <v/>
      </c>
      <c r="JS9" s="48" t="str">
        <f t="shared" si="20"/>
        <v/>
      </c>
      <c r="JT9" s="48" t="str">
        <f t="shared" si="20"/>
        <v/>
      </c>
      <c r="JU9" s="48" t="str">
        <f t="shared" si="20"/>
        <v/>
      </c>
      <c r="JV9" s="48" t="str">
        <f t="shared" si="20"/>
        <v/>
      </c>
      <c r="JW9" s="48"/>
      <c r="JX9" s="48"/>
      <c r="JY9" s="48"/>
      <c r="JZ9" s="48"/>
      <c r="KA9" s="48"/>
      <c r="KB9" s="48">
        <f t="shared" si="22"/>
        <v>2.3810604497627397</v>
      </c>
      <c r="KC9" s="48" t="str">
        <f t="shared" si="22"/>
        <v/>
      </c>
      <c r="KD9" s="48"/>
      <c r="KE9" s="48"/>
      <c r="KF9" s="48" t="str">
        <f t="shared" si="23"/>
        <v/>
      </c>
      <c r="KG9" s="49">
        <f t="shared" si="24"/>
        <v>30603800</v>
      </c>
      <c r="KH9" s="38"/>
      <c r="KI9" s="49">
        <f t="shared" si="25"/>
        <v>2629300</v>
      </c>
      <c r="KJ9" s="38"/>
      <c r="KK9" s="51">
        <f t="shared" si="26"/>
        <v>8.591416752168031E-2</v>
      </c>
      <c r="KL9" s="52">
        <f t="shared" si="27"/>
        <v>10386900</v>
      </c>
      <c r="KM9" s="52">
        <f t="shared" si="28"/>
        <v>684900</v>
      </c>
      <c r="KN9" s="52">
        <f t="shared" si="29"/>
        <v>2684500</v>
      </c>
      <c r="KO9" s="53">
        <f t="shared" si="30"/>
        <v>2.3710729427111641</v>
      </c>
      <c r="KP9" s="54"/>
      <c r="KQ9" s="53">
        <f t="shared" si="31"/>
        <v>1.3031225040885406</v>
      </c>
      <c r="KR9" s="54" t="str">
        <f>JK9</f>
        <v/>
      </c>
      <c r="KS9" s="53">
        <f t="shared" si="32"/>
        <v>2.3810604497627397</v>
      </c>
      <c r="KT9" s="54" t="str">
        <f>KC9</f>
        <v/>
      </c>
      <c r="KU9" s="55">
        <v>2023</v>
      </c>
      <c r="KV9" s="61">
        <v>2</v>
      </c>
      <c r="KZ9" s="37" t="s">
        <v>107</v>
      </c>
      <c r="LA9" s="37" t="s">
        <v>93</v>
      </c>
      <c r="LB9" s="57" t="s">
        <v>108</v>
      </c>
      <c r="LD9" s="58" t="s">
        <v>109</v>
      </c>
      <c r="LE9" s="12"/>
      <c r="LF9" s="59" t="s">
        <v>110</v>
      </c>
    </row>
    <row r="10" spans="1:318" x14ac:dyDescent="0.25">
      <c r="A10" s="36" t="s">
        <v>111</v>
      </c>
      <c r="B10" s="37" t="s">
        <v>112</v>
      </c>
      <c r="C10" s="37" t="str">
        <f>INDEX('[1]Property Summary'!AB:AB,MATCH($A10,'[1]Property Summary'!$F:$F,FALSE))</f>
        <v>GCP Atlanta</v>
      </c>
      <c r="D10" s="38"/>
      <c r="E10" s="39">
        <v>31600</v>
      </c>
      <c r="F10" s="39">
        <v>37500</v>
      </c>
      <c r="G10" s="39">
        <v>35000</v>
      </c>
      <c r="H10" s="39">
        <v>46700</v>
      </c>
      <c r="I10" s="39">
        <v>31600</v>
      </c>
      <c r="J10" s="39">
        <v>42500</v>
      </c>
      <c r="K10" s="39">
        <v>32900</v>
      </c>
      <c r="L10" s="39">
        <v>47100</v>
      </c>
      <c r="M10" s="39">
        <v>31800</v>
      </c>
      <c r="N10" s="39">
        <v>41200</v>
      </c>
      <c r="O10" s="39">
        <v>32500</v>
      </c>
      <c r="P10" s="39">
        <v>48700</v>
      </c>
      <c r="R10" s="39">
        <f>SUM(E10:H10)</f>
        <v>150800</v>
      </c>
      <c r="S10" s="39">
        <f>SUM(I10:L10)</f>
        <v>154100</v>
      </c>
      <c r="T10" s="39">
        <f>SUM(M10:P10)</f>
        <v>154200</v>
      </c>
      <c r="V10" s="40">
        <f>SUM(M10:P10)</f>
        <v>154200</v>
      </c>
      <c r="W10" s="41">
        <v>1900</v>
      </c>
      <c r="X10" s="39">
        <v>5000</v>
      </c>
      <c r="Y10" s="39">
        <v>3400</v>
      </c>
      <c r="Z10" s="39">
        <v>8200</v>
      </c>
      <c r="AA10" s="39">
        <v>1800</v>
      </c>
      <c r="AB10" s="39">
        <v>6500</v>
      </c>
      <c r="AC10" s="39">
        <v>1600</v>
      </c>
      <c r="AD10" s="39">
        <v>8200</v>
      </c>
      <c r="AE10" s="39">
        <v>2700</v>
      </c>
      <c r="AF10" s="39">
        <v>6300</v>
      </c>
      <c r="AG10" s="39">
        <v>2100</v>
      </c>
      <c r="AH10" s="39">
        <v>9400</v>
      </c>
      <c r="AJ10" s="39">
        <f>SUM(W10:Z10)</f>
        <v>18500</v>
      </c>
      <c r="AK10" s="39">
        <f>SUM(AA10:AD10)</f>
        <v>18100</v>
      </c>
      <c r="AL10" s="39">
        <f>SUM(AE10:AH10)</f>
        <v>20500</v>
      </c>
      <c r="AN10" s="40">
        <f>SUM(AE10:AH10)</f>
        <v>20500</v>
      </c>
      <c r="AO10" s="42">
        <f t="shared" si="0"/>
        <v>6.0126582278481014E-2</v>
      </c>
      <c r="AP10" s="43">
        <f t="shared" si="0"/>
        <v>0.13333333333333333</v>
      </c>
      <c r="AQ10" s="43">
        <f t="shared" si="0"/>
        <v>9.7142857142857142E-2</v>
      </c>
      <c r="AR10" s="43">
        <f t="shared" si="0"/>
        <v>0.17558886509635974</v>
      </c>
      <c r="AS10" s="43">
        <f t="shared" si="0"/>
        <v>5.6962025316455694E-2</v>
      </c>
      <c r="AT10" s="43">
        <f t="shared" si="0"/>
        <v>0.15294117647058825</v>
      </c>
      <c r="AU10" s="43">
        <f t="shared" si="0"/>
        <v>4.8632218844984802E-2</v>
      </c>
      <c r="AV10" s="43">
        <f t="shared" si="0"/>
        <v>0.17409766454352441</v>
      </c>
      <c r="AW10" s="43">
        <f>IFERROR(AE10/M10,"")</f>
        <v>8.4905660377358486E-2</v>
      </c>
      <c r="AX10" s="43">
        <f>IFERROR(AF10/N10,"")</f>
        <v>0.15291262135922329</v>
      </c>
      <c r="AY10" s="43">
        <f>IFERROR(AG10/O10,"")</f>
        <v>6.4615384615384616E-2</v>
      </c>
      <c r="AZ10" s="43">
        <f>IFERROR(AH10/P10,"")</f>
        <v>0.19301848049281314</v>
      </c>
      <c r="BA10" s="43"/>
      <c r="BB10" s="43">
        <f t="shared" si="1"/>
        <v>0.1226790450928382</v>
      </c>
      <c r="BC10" s="43">
        <f t="shared" si="1"/>
        <v>0.11745619727449708</v>
      </c>
      <c r="BD10" s="43">
        <f>IFERROR(AL10/T10,"")</f>
        <v>0.13294422827496757</v>
      </c>
      <c r="BE10" s="43"/>
      <c r="BF10" s="44">
        <f t="shared" si="2"/>
        <v>0.13294422827496757</v>
      </c>
      <c r="BG10" s="41">
        <f t="shared" ref="BG10:BR10" si="33">(EA10*0.1)/4</f>
        <v>1727.5</v>
      </c>
      <c r="BH10" s="39">
        <f t="shared" si="33"/>
        <v>1725</v>
      </c>
      <c r="BI10" s="39">
        <f t="shared" si="33"/>
        <v>1712.5</v>
      </c>
      <c r="BJ10" s="39">
        <f t="shared" si="33"/>
        <v>1637.5</v>
      </c>
      <c r="BK10" s="39">
        <f t="shared" si="33"/>
        <v>1635</v>
      </c>
      <c r="BL10" s="39">
        <f t="shared" si="33"/>
        <v>1630</v>
      </c>
      <c r="BM10" s="39">
        <f t="shared" si="33"/>
        <v>1727.5</v>
      </c>
      <c r="BN10" s="39">
        <f t="shared" si="33"/>
        <v>1572.5</v>
      </c>
      <c r="BO10" s="39">
        <f t="shared" si="33"/>
        <v>1640</v>
      </c>
      <c r="BP10" s="39">
        <f t="shared" si="33"/>
        <v>1630</v>
      </c>
      <c r="BQ10" s="39">
        <f t="shared" si="33"/>
        <v>1632.5</v>
      </c>
      <c r="BR10" s="39">
        <f t="shared" si="33"/>
        <v>1520</v>
      </c>
      <c r="BT10" s="39">
        <f>SUM(BG10:BJ10)</f>
        <v>6802.5</v>
      </c>
      <c r="BU10" s="39">
        <f>SUM(BK10:BN10)</f>
        <v>6565</v>
      </c>
      <c r="BV10" s="39">
        <f>SUM(BO10:BR10)</f>
        <v>6422.5</v>
      </c>
      <c r="BX10" s="40">
        <f>SUM(BO10:BR10)</f>
        <v>6422.5</v>
      </c>
      <c r="BY10" s="41">
        <f t="shared" ref="BY10:CJ10" si="34">(DI10/8)/4</f>
        <v>856.25</v>
      </c>
      <c r="BZ10" s="39">
        <f t="shared" si="34"/>
        <v>828.125</v>
      </c>
      <c r="CA10" s="39">
        <f t="shared" si="34"/>
        <v>887.5</v>
      </c>
      <c r="CB10" s="39">
        <f t="shared" si="34"/>
        <v>878.125</v>
      </c>
      <c r="CC10" s="39">
        <f t="shared" si="34"/>
        <v>846.875</v>
      </c>
      <c r="CD10" s="39">
        <f t="shared" si="34"/>
        <v>828.125</v>
      </c>
      <c r="CE10" s="39">
        <f t="shared" si="34"/>
        <v>809.375</v>
      </c>
      <c r="CF10" s="39">
        <f t="shared" si="34"/>
        <v>818.75</v>
      </c>
      <c r="CG10" s="39">
        <f t="shared" si="34"/>
        <v>815.625</v>
      </c>
      <c r="CH10" s="39">
        <f t="shared" si="34"/>
        <v>815.625</v>
      </c>
      <c r="CI10" s="39">
        <f t="shared" si="34"/>
        <v>793.75</v>
      </c>
      <c r="CJ10" s="39">
        <f t="shared" si="34"/>
        <v>778.125</v>
      </c>
      <c r="CL10" s="39">
        <f>DV10/8</f>
        <v>3512.5</v>
      </c>
      <c r="CM10" s="39">
        <f>SUM(CC10:CF10)</f>
        <v>3303.125</v>
      </c>
      <c r="CN10" s="39">
        <f>SUM(CG10:CJ10)</f>
        <v>3203.125</v>
      </c>
      <c r="CP10" s="40">
        <f>SUM(CG10:CJ10)</f>
        <v>3203.125</v>
      </c>
      <c r="CQ10" s="41">
        <f t="shared" si="3"/>
        <v>2756.25</v>
      </c>
      <c r="CR10" s="39">
        <f t="shared" si="3"/>
        <v>5828.125</v>
      </c>
      <c r="CS10" s="39">
        <f t="shared" si="3"/>
        <v>4287.5</v>
      </c>
      <c r="CT10" s="39">
        <f t="shared" si="3"/>
        <v>9078.125</v>
      </c>
      <c r="CU10" s="39">
        <f t="shared" si="3"/>
        <v>2646.875</v>
      </c>
      <c r="CV10" s="39">
        <f t="shared" si="3"/>
        <v>7328.125</v>
      </c>
      <c r="CW10" s="39">
        <f t="shared" si="3"/>
        <v>2409.375</v>
      </c>
      <c r="CX10" s="39">
        <f t="shared" si="3"/>
        <v>9018.75</v>
      </c>
      <c r="CY10" s="39">
        <f>IF(AE10+CG10=0,"",AE10+CG10)</f>
        <v>3515.625</v>
      </c>
      <c r="CZ10" s="39">
        <f>IF(AF10+CH10=0,"",AF10+CH10)</f>
        <v>7115.625</v>
      </c>
      <c r="DA10" s="39">
        <f>IF(AG10+CI10=0,"",AG10+CI10)</f>
        <v>2893.75</v>
      </c>
      <c r="DB10" s="39">
        <f>IF(AH10+CJ10=0,"",AH10+CJ10)</f>
        <v>10178.125</v>
      </c>
      <c r="DD10" s="39">
        <f t="shared" si="4"/>
        <v>22012.5</v>
      </c>
      <c r="DE10" s="39">
        <f t="shared" si="4"/>
        <v>21403.125</v>
      </c>
      <c r="DF10" s="39">
        <f>IF(AL10+CN10=0,"",AL10+CN10)</f>
        <v>23703.125</v>
      </c>
      <c r="DH10" s="39">
        <f t="shared" si="5"/>
        <v>23703.125</v>
      </c>
      <c r="DI10" s="41">
        <f>2300+25100</f>
        <v>27400</v>
      </c>
      <c r="DJ10" s="39">
        <f>2300+24200</f>
        <v>26500</v>
      </c>
      <c r="DK10" s="39">
        <f>2500+25900</f>
        <v>28400</v>
      </c>
      <c r="DL10" s="39">
        <f>2600+25500</f>
        <v>28100</v>
      </c>
      <c r="DM10" s="39">
        <f>2500+24600</f>
        <v>27100</v>
      </c>
      <c r="DN10" s="39">
        <f>2400+24100</f>
        <v>26500</v>
      </c>
      <c r="DO10" s="39">
        <f>2300+23600</f>
        <v>25900</v>
      </c>
      <c r="DP10" s="39">
        <f>23800+2400</f>
        <v>26200</v>
      </c>
      <c r="DQ10" s="39">
        <f>2400+23700</f>
        <v>26100</v>
      </c>
      <c r="DR10" s="39">
        <f>2600+23500</f>
        <v>26100</v>
      </c>
      <c r="DS10" s="39">
        <f>22900+2500</f>
        <v>25400</v>
      </c>
      <c r="DT10" s="39">
        <f>22400+2500</f>
        <v>24900</v>
      </c>
      <c r="DV10" s="39">
        <f>DL10</f>
        <v>28100</v>
      </c>
      <c r="DW10" s="39">
        <f>DP10</f>
        <v>26200</v>
      </c>
      <c r="DX10" s="39">
        <f>DT10</f>
        <v>24900</v>
      </c>
      <c r="DZ10" s="40">
        <f>DT10</f>
        <v>24900</v>
      </c>
      <c r="EA10" s="45">
        <f>12900+56200</f>
        <v>69100</v>
      </c>
      <c r="EB10" s="46">
        <f>12900+56100</f>
        <v>69000</v>
      </c>
      <c r="EC10" s="46">
        <f>12400+56100</f>
        <v>68500</v>
      </c>
      <c r="ED10" s="46">
        <f>9400+56100</f>
        <v>65500</v>
      </c>
      <c r="EE10" s="46">
        <f>9400+56000</f>
        <v>65400</v>
      </c>
      <c r="EF10" s="46">
        <f>9400+55800</f>
        <v>65200</v>
      </c>
      <c r="EG10" s="46">
        <f>13400+55700</f>
        <v>69100</v>
      </c>
      <c r="EH10" s="46">
        <f>7400+55500</f>
        <v>62900</v>
      </c>
      <c r="EI10" s="46">
        <f>62000+3600</f>
        <v>65600</v>
      </c>
      <c r="EJ10" s="46">
        <f>3600+61600</f>
        <v>65200</v>
      </c>
      <c r="EK10" s="46">
        <f>61200+4100</f>
        <v>65300</v>
      </c>
      <c r="EL10" s="46">
        <f>60800+0</f>
        <v>60800</v>
      </c>
      <c r="EM10" s="46"/>
      <c r="EN10" s="46">
        <f>ED10</f>
        <v>65500</v>
      </c>
      <c r="EO10" s="46">
        <f>EH10</f>
        <v>62900</v>
      </c>
      <c r="EP10" s="46">
        <f>EL10</f>
        <v>60800</v>
      </c>
      <c r="EQ10" s="46"/>
      <c r="ER10" s="40">
        <f>EL10</f>
        <v>60800</v>
      </c>
      <c r="ES10" s="45">
        <f t="shared" si="7"/>
        <v>96500</v>
      </c>
      <c r="ET10" s="46">
        <f t="shared" si="7"/>
        <v>95500</v>
      </c>
      <c r="EU10" s="46">
        <f t="shared" si="7"/>
        <v>96900</v>
      </c>
      <c r="EV10" s="46">
        <f t="shared" si="7"/>
        <v>93600</v>
      </c>
      <c r="EW10" s="46">
        <f t="shared" si="7"/>
        <v>92500</v>
      </c>
      <c r="EX10" s="46">
        <f t="shared" si="7"/>
        <v>91700</v>
      </c>
      <c r="EY10" s="46">
        <f t="shared" si="7"/>
        <v>95000</v>
      </c>
      <c r="EZ10" s="46">
        <f t="shared" si="7"/>
        <v>89100</v>
      </c>
      <c r="FA10" s="46">
        <f>IF(DQ10+EI10=0,"",DQ10+EI10)</f>
        <v>91700</v>
      </c>
      <c r="FB10" s="46">
        <f>IF(DR10+EJ10=0,"",DR10+EJ10)</f>
        <v>91300</v>
      </c>
      <c r="FC10" s="46">
        <f>IF(DS10+EK10=0,"",DS10+EK10)</f>
        <v>90700</v>
      </c>
      <c r="FD10" s="46">
        <f>IF(DT10+EL10=0,"",DT10+EL10)</f>
        <v>85700</v>
      </c>
      <c r="FE10" s="46"/>
      <c r="FF10" s="46">
        <f t="shared" si="9"/>
        <v>93600</v>
      </c>
      <c r="FG10" s="46">
        <f t="shared" si="9"/>
        <v>89100</v>
      </c>
      <c r="FH10" s="46">
        <f>IF(DX10+EP10=0,"",DX10+EP10)</f>
        <v>85700</v>
      </c>
      <c r="FI10" s="46"/>
      <c r="FJ10" s="46">
        <f t="shared" si="10"/>
        <v>85700</v>
      </c>
      <c r="FK10" s="45">
        <v>6500</v>
      </c>
      <c r="FL10" s="46">
        <v>4900</v>
      </c>
      <c r="FM10" s="46">
        <v>5500</v>
      </c>
      <c r="FN10" s="46">
        <v>4900</v>
      </c>
      <c r="FO10" s="46">
        <v>2400</v>
      </c>
      <c r="FP10" s="46">
        <v>5200</v>
      </c>
      <c r="FQ10" s="46">
        <v>4600</v>
      </c>
      <c r="FR10" s="46">
        <v>8100</v>
      </c>
      <c r="FS10" s="46">
        <v>4200</v>
      </c>
      <c r="FT10" s="46">
        <v>5100</v>
      </c>
      <c r="FU10" s="46">
        <v>3700</v>
      </c>
      <c r="FV10" s="46">
        <v>4700</v>
      </c>
      <c r="FW10" s="46"/>
      <c r="FX10" s="46">
        <f>FN10</f>
        <v>4900</v>
      </c>
      <c r="FY10" s="46">
        <f>FR10</f>
        <v>8100</v>
      </c>
      <c r="FZ10" s="46">
        <f>FV10</f>
        <v>4700</v>
      </c>
      <c r="GA10" s="46"/>
      <c r="GB10" s="40">
        <f>FV10</f>
        <v>4700</v>
      </c>
      <c r="GC10" s="45">
        <v>800</v>
      </c>
      <c r="GD10" s="46">
        <v>700</v>
      </c>
      <c r="GE10" s="46">
        <v>3800</v>
      </c>
      <c r="GF10" s="46">
        <v>4800</v>
      </c>
      <c r="GG10" s="46">
        <v>-1500</v>
      </c>
      <c r="GH10" s="46">
        <v>4300</v>
      </c>
      <c r="GI10" s="46">
        <v>-3100</v>
      </c>
      <c r="GJ10" s="46">
        <v>10700</v>
      </c>
      <c r="GK10" s="46">
        <v>-4600</v>
      </c>
      <c r="GL10" s="46">
        <v>1700</v>
      </c>
      <c r="GM10" s="46">
        <v>-300</v>
      </c>
      <c r="GN10" s="46">
        <v>6000</v>
      </c>
      <c r="GO10" s="46"/>
      <c r="GP10" s="46">
        <f>SUM(GC10:GF10)</f>
        <v>10100</v>
      </c>
      <c r="GQ10" s="46">
        <f>SUM(GG10:GJ10)</f>
        <v>10400</v>
      </c>
      <c r="GR10" s="46">
        <f>SUM(GK10:GN10)</f>
        <v>2800</v>
      </c>
      <c r="GS10" s="46"/>
      <c r="GT10" s="40">
        <f>SUM(GK10:GN10)</f>
        <v>2800</v>
      </c>
      <c r="GU10" s="45">
        <v>700</v>
      </c>
      <c r="GV10" s="46">
        <v>-100</v>
      </c>
      <c r="GW10" s="46">
        <v>300</v>
      </c>
      <c r="GX10" s="46">
        <v>400</v>
      </c>
      <c r="GY10" s="46">
        <v>300</v>
      </c>
      <c r="GZ10" s="46">
        <v>700</v>
      </c>
      <c r="HA10" s="46">
        <v>200</v>
      </c>
      <c r="HB10" s="46">
        <v>400</v>
      </c>
      <c r="HC10" s="46">
        <v>200</v>
      </c>
      <c r="HD10" s="46">
        <v>500</v>
      </c>
      <c r="HE10" s="46">
        <v>1000</v>
      </c>
      <c r="HF10" s="46">
        <v>1200</v>
      </c>
      <c r="HG10" s="46"/>
      <c r="HH10" s="46">
        <f>SUM(GU10:GX10)</f>
        <v>1300</v>
      </c>
      <c r="HI10" s="46">
        <f>SUM(GY10:HB10)</f>
        <v>1600</v>
      </c>
      <c r="HJ10" s="46">
        <f>SUM(HC10:HF10)</f>
        <v>2900</v>
      </c>
      <c r="HK10" s="46"/>
      <c r="HL10" s="40">
        <f>SUM(HC10:HF10)</f>
        <v>2900</v>
      </c>
      <c r="HM10" s="45">
        <f t="shared" si="11"/>
        <v>100</v>
      </c>
      <c r="HN10" s="46">
        <f t="shared" si="11"/>
        <v>800</v>
      </c>
      <c r="HO10" s="46">
        <f t="shared" si="11"/>
        <v>3500</v>
      </c>
      <c r="HP10" s="46">
        <f t="shared" si="11"/>
        <v>4400</v>
      </c>
      <c r="HQ10" s="46">
        <f t="shared" si="11"/>
        <v>-1800</v>
      </c>
      <c r="HR10" s="46">
        <f t="shared" si="11"/>
        <v>3600</v>
      </c>
      <c r="HS10" s="46">
        <f t="shared" si="11"/>
        <v>-3300</v>
      </c>
      <c r="HT10" s="46">
        <f t="shared" si="11"/>
        <v>10300</v>
      </c>
      <c r="HU10" s="46">
        <f>IF(GK10-HC10=0,"",GK10-HC10)</f>
        <v>-4800</v>
      </c>
      <c r="HV10" s="46">
        <f>IF(GL10-HD10=0,"",GL10-HD10)</f>
        <v>1200</v>
      </c>
      <c r="HW10" s="46">
        <f>IF(GM10-HE10=0,"",GM10-HE10)</f>
        <v>-1300</v>
      </c>
      <c r="HX10" s="46">
        <f>IF(GN10-HF10=0,"",GN10-HF10)</f>
        <v>4800</v>
      </c>
      <c r="HY10" s="46"/>
      <c r="HZ10" s="46">
        <f t="shared" si="12"/>
        <v>8800</v>
      </c>
      <c r="IA10" s="46">
        <f t="shared" si="12"/>
        <v>8800</v>
      </c>
      <c r="IB10" s="46">
        <f>IF(GR10-HJ10=0,"",GR10-HJ10)</f>
        <v>-100</v>
      </c>
      <c r="IC10" s="46"/>
      <c r="ID10" s="46">
        <f t="shared" si="13"/>
        <v>-100</v>
      </c>
      <c r="IE10" s="47">
        <f t="shared" si="14"/>
        <v>1.0667634252539913</v>
      </c>
      <c r="IF10" s="48">
        <f t="shared" si="14"/>
        <v>2.2827417380660955</v>
      </c>
      <c r="IG10" s="48">
        <f t="shared" si="14"/>
        <v>1.6490384615384615</v>
      </c>
      <c r="IH10" s="48">
        <f t="shared" si="14"/>
        <v>3.6086956521739131</v>
      </c>
      <c r="II10" s="48">
        <f t="shared" si="14"/>
        <v>1.0664819944598338</v>
      </c>
      <c r="IJ10" s="48">
        <f t="shared" si="14"/>
        <v>2.9811848461734045</v>
      </c>
      <c r="IK10" s="48">
        <f t="shared" si="14"/>
        <v>0.9497413155949741</v>
      </c>
      <c r="IL10" s="48">
        <f t="shared" si="14"/>
        <v>3.7715629900679559</v>
      </c>
      <c r="IM10" s="48">
        <f>IFERROR(CY10/(BO10+CG10),"")</f>
        <v>1.4316620005090355</v>
      </c>
      <c r="IN10" s="48">
        <f>IFERROR(CZ10/(BP10+CH10),"")</f>
        <v>2.9095323281369794</v>
      </c>
      <c r="IO10" s="48">
        <f>IFERROR(DA10/(BQ10+CI10),"")</f>
        <v>1.192684183410613</v>
      </c>
      <c r="IP10" s="48">
        <f>IFERROR(DB10/(BR10+CJ10),"")</f>
        <v>4.4288822409573019</v>
      </c>
      <c r="IQ10" s="48"/>
      <c r="IR10" s="48">
        <f t="shared" si="15"/>
        <v>2.1340281143965099</v>
      </c>
      <c r="IS10" s="48">
        <f t="shared" si="15"/>
        <v>2.1689150674520237</v>
      </c>
      <c r="IT10" s="48">
        <f>IFERROR(DF10/(BV10+CN10),"")</f>
        <v>2.4625024349068241</v>
      </c>
      <c r="IU10" s="48"/>
      <c r="IV10" s="48">
        <f t="shared" si="16"/>
        <v>2.4625024349068241</v>
      </c>
      <c r="IW10" s="47">
        <f t="shared" si="17"/>
        <v>9.0921052631578956</v>
      </c>
      <c r="IX10" s="48">
        <f t="shared" si="17"/>
        <v>3.45</v>
      </c>
      <c r="IY10" s="48">
        <f t="shared" si="17"/>
        <v>5.0367647058823533</v>
      </c>
      <c r="IZ10" s="48">
        <f t="shared" si="17"/>
        <v>1.9969512195121952</v>
      </c>
      <c r="JA10" s="48">
        <f t="shared" si="17"/>
        <v>9.0833333333333339</v>
      </c>
      <c r="JB10" s="48">
        <f t="shared" si="17"/>
        <v>2.5076923076923077</v>
      </c>
      <c r="JC10" s="48">
        <f t="shared" si="17"/>
        <v>10.796875</v>
      </c>
      <c r="JD10" s="48">
        <f t="shared" si="17"/>
        <v>1.9176829268292683</v>
      </c>
      <c r="JE10" s="48">
        <f t="shared" si="17"/>
        <v>6.0740740740740744</v>
      </c>
      <c r="JF10" s="48">
        <f t="shared" si="17"/>
        <v>2.5873015873015874</v>
      </c>
      <c r="JG10" s="48">
        <f t="shared" si="17"/>
        <v>7.7738095238095237</v>
      </c>
      <c r="JH10" s="48">
        <f t="shared" si="17"/>
        <v>1.6170212765957446</v>
      </c>
      <c r="JI10" s="48"/>
      <c r="JJ10" s="48">
        <f t="shared" si="18"/>
        <v>3.5405405405405403</v>
      </c>
      <c r="JK10" s="48">
        <f t="shared" si="18"/>
        <v>3.4751381215469612</v>
      </c>
      <c r="JL10" s="48">
        <f t="shared" si="18"/>
        <v>2.9658536585365853</v>
      </c>
      <c r="JM10" s="48"/>
      <c r="JN10" s="48">
        <f t="shared" si="19"/>
        <v>2.9658536585365853</v>
      </c>
      <c r="JO10" s="47">
        <f t="shared" si="20"/>
        <v>8.7528344671201808</v>
      </c>
      <c r="JP10" s="48">
        <f t="shared" si="20"/>
        <v>4.0965147453083111</v>
      </c>
      <c r="JQ10" s="48">
        <f t="shared" si="20"/>
        <v>5.6501457725947519</v>
      </c>
      <c r="JR10" s="48">
        <f t="shared" si="20"/>
        <v>2.5776247848537004</v>
      </c>
      <c r="JS10" s="48">
        <f t="shared" si="20"/>
        <v>8.7367178276269186</v>
      </c>
      <c r="JT10" s="48">
        <f t="shared" si="20"/>
        <v>3.1283582089552238</v>
      </c>
      <c r="JU10" s="48">
        <f t="shared" si="20"/>
        <v>9.857328145265889</v>
      </c>
      <c r="JV10" s="48">
        <f t="shared" si="20"/>
        <v>2.4698544698544698</v>
      </c>
      <c r="JW10" s="48">
        <f>IFERROR(FA10/(CY10*4),"")</f>
        <v>6.520888888888889</v>
      </c>
      <c r="JX10" s="48">
        <f>IFERROR(FB10/(CZ10*4),"")</f>
        <v>3.2077294685990339</v>
      </c>
      <c r="JY10" s="48">
        <f>IFERROR(FC10/(DA10*4),"")</f>
        <v>7.8358531317494604</v>
      </c>
      <c r="JZ10" s="48">
        <f>IFERROR(FD10/(DB10*4),"")</f>
        <v>2.1050046054651519</v>
      </c>
      <c r="KA10" s="48"/>
      <c r="KB10" s="48">
        <f t="shared" si="22"/>
        <v>4.2521294718909708</v>
      </c>
      <c r="KC10" s="48">
        <f t="shared" si="22"/>
        <v>4.1629434954007882</v>
      </c>
      <c r="KD10" s="48">
        <f>IFERROR(FH10/(DF10),"")</f>
        <v>3.6155570204350691</v>
      </c>
      <c r="KE10" s="48"/>
      <c r="KF10" s="48">
        <f t="shared" si="23"/>
        <v>3.6155570204350691</v>
      </c>
      <c r="KG10" s="49">
        <f t="shared" si="24"/>
        <v>154200</v>
      </c>
      <c r="KH10" s="50">
        <f>KG10/S10-1</f>
        <v>6.4892926671000772E-4</v>
      </c>
      <c r="KI10" s="49">
        <f t="shared" si="25"/>
        <v>20500</v>
      </c>
      <c r="KJ10" s="50">
        <f>KI10/AK10-1</f>
        <v>0.13259668508287303</v>
      </c>
      <c r="KK10" s="51">
        <f t="shared" si="26"/>
        <v>0.13294422827496757</v>
      </c>
      <c r="KL10" s="52">
        <f t="shared" si="27"/>
        <v>85700</v>
      </c>
      <c r="KM10" s="52">
        <f t="shared" si="28"/>
        <v>4700</v>
      </c>
      <c r="KN10" s="52">
        <f t="shared" si="29"/>
        <v>2800</v>
      </c>
      <c r="KO10" s="53">
        <f t="shared" si="30"/>
        <v>2.4625024349068241</v>
      </c>
      <c r="KP10" s="54">
        <f>IS10</f>
        <v>2.1689150674520237</v>
      </c>
      <c r="KQ10" s="53">
        <f t="shared" si="31"/>
        <v>2.9658536585365853</v>
      </c>
      <c r="KR10" s="54">
        <f>JK10</f>
        <v>3.4751381215469612</v>
      </c>
      <c r="KS10" s="53">
        <f t="shared" si="32"/>
        <v>3.6155570204350691</v>
      </c>
      <c r="KT10" s="54">
        <f>KC10</f>
        <v>4.1629434954007882</v>
      </c>
      <c r="KU10" s="55" t="s">
        <v>65</v>
      </c>
      <c r="KV10" s="61">
        <v>2</v>
      </c>
      <c r="KW10" s="37" t="s">
        <v>66</v>
      </c>
      <c r="KY10" s="37" t="s">
        <v>91</v>
      </c>
      <c r="KZ10" s="37" t="s">
        <v>113</v>
      </c>
      <c r="LA10" s="37" t="s">
        <v>114</v>
      </c>
      <c r="LB10" s="57" t="s">
        <v>115</v>
      </c>
      <c r="LD10" s="58" t="s">
        <v>116</v>
      </c>
      <c r="LE10" s="12"/>
    </row>
    <row r="11" spans="1:318" x14ac:dyDescent="0.25">
      <c r="A11" s="36" t="s">
        <v>117</v>
      </c>
      <c r="B11" s="37" t="s">
        <v>118</v>
      </c>
      <c r="C11" s="37" t="str">
        <f>INDEX('[1]Property Summary'!AB:AB,MATCH($A11,'[1]Property Summary'!$F:$F,FALSE))</f>
        <v>BK Portfolio</v>
      </c>
      <c r="D11" s="38"/>
      <c r="R11" s="39">
        <v>64306.45</v>
      </c>
      <c r="S11" s="39">
        <v>71457.894</v>
      </c>
      <c r="AJ11" s="39">
        <f>2545.269+4996.666</f>
        <v>7541.9349999999995</v>
      </c>
      <c r="AK11" s="39">
        <f>5175.213+1736.132</f>
        <v>6911.3449999999993</v>
      </c>
      <c r="AO11" s="42" t="str">
        <f t="shared" si="0"/>
        <v/>
      </c>
      <c r="AP11" s="43" t="str">
        <f t="shared" si="0"/>
        <v/>
      </c>
      <c r="AQ11" s="43" t="str">
        <f t="shared" si="0"/>
        <v/>
      </c>
      <c r="AR11" s="43" t="str">
        <f t="shared" si="0"/>
        <v/>
      </c>
      <c r="AS11" s="43" t="str">
        <f t="shared" si="0"/>
        <v/>
      </c>
      <c r="AT11" s="43" t="str">
        <f t="shared" si="0"/>
        <v/>
      </c>
      <c r="AU11" s="43" t="str">
        <f t="shared" si="0"/>
        <v/>
      </c>
      <c r="AV11" s="43" t="str">
        <f t="shared" si="0"/>
        <v/>
      </c>
      <c r="AW11" s="43"/>
      <c r="AX11" s="43"/>
      <c r="AY11" s="43"/>
      <c r="AZ11" s="43"/>
      <c r="BA11" s="43"/>
      <c r="BB11" s="43">
        <f t="shared" si="1"/>
        <v>0.11728115919942711</v>
      </c>
      <c r="BC11" s="43">
        <f t="shared" si="1"/>
        <v>9.671912525157822E-2</v>
      </c>
      <c r="BD11" s="43"/>
      <c r="BE11" s="43"/>
      <c r="BF11" s="44" t="str">
        <f t="shared" si="2"/>
        <v/>
      </c>
      <c r="BT11" s="39">
        <v>1801.2560000000001</v>
      </c>
      <c r="BU11" s="39">
        <v>1990.68</v>
      </c>
      <c r="CL11" s="39">
        <f>2045+804</f>
        <v>2849</v>
      </c>
      <c r="CM11" s="39">
        <f>2035+1281</f>
        <v>3316</v>
      </c>
      <c r="CQ11" s="41" t="str">
        <f t="shared" si="3"/>
        <v/>
      </c>
      <c r="CR11" s="39" t="str">
        <f t="shared" si="3"/>
        <v/>
      </c>
      <c r="CS11" s="39" t="str">
        <f t="shared" si="3"/>
        <v/>
      </c>
      <c r="CT11" s="39" t="str">
        <f t="shared" si="3"/>
        <v/>
      </c>
      <c r="CU11" s="39" t="str">
        <f t="shared" si="3"/>
        <v/>
      </c>
      <c r="CV11" s="39" t="str">
        <f t="shared" si="3"/>
        <v/>
      </c>
      <c r="CW11" s="39" t="str">
        <f t="shared" si="3"/>
        <v/>
      </c>
      <c r="CX11" s="39" t="str">
        <f t="shared" si="3"/>
        <v/>
      </c>
      <c r="DD11" s="39">
        <f t="shared" si="4"/>
        <v>10390.934999999999</v>
      </c>
      <c r="DE11" s="39">
        <f t="shared" si="4"/>
        <v>10227.344999999999</v>
      </c>
      <c r="DH11" s="39" t="str">
        <f t="shared" si="5"/>
        <v/>
      </c>
      <c r="DV11" s="39">
        <f>8*CL11</f>
        <v>22792</v>
      </c>
      <c r="DW11" s="39">
        <f>8*CM11</f>
        <v>26528</v>
      </c>
      <c r="DZ11" s="40">
        <f>DW11</f>
        <v>26528</v>
      </c>
      <c r="EA11" s="45"/>
      <c r="EB11" s="46"/>
      <c r="EC11" s="46"/>
      <c r="ED11" s="46"/>
      <c r="EE11" s="46"/>
      <c r="EF11" s="46"/>
      <c r="EG11" s="46"/>
      <c r="EH11" s="46"/>
      <c r="EI11" s="46"/>
      <c r="EJ11" s="46"/>
      <c r="EK11" s="46"/>
      <c r="EL11" s="46"/>
      <c r="EM11" s="46"/>
      <c r="EN11" s="46">
        <f>2275.25+48992.356</f>
        <v>51267.606</v>
      </c>
      <c r="EO11" s="46">
        <f>2357.188+46648.399</f>
        <v>49005.587</v>
      </c>
      <c r="EP11" s="46"/>
      <c r="EQ11" s="46"/>
      <c r="ER11" s="40">
        <f>EO11</f>
        <v>49005.587</v>
      </c>
      <c r="ES11" s="45" t="str">
        <f t="shared" si="7"/>
        <v/>
      </c>
      <c r="ET11" s="46" t="str">
        <f t="shared" si="7"/>
        <v/>
      </c>
      <c r="EU11" s="46" t="str">
        <f t="shared" si="7"/>
        <v/>
      </c>
      <c r="EV11" s="46" t="str">
        <f t="shared" si="7"/>
        <v/>
      </c>
      <c r="EW11" s="46" t="str">
        <f t="shared" si="7"/>
        <v/>
      </c>
      <c r="EX11" s="46" t="str">
        <f t="shared" si="7"/>
        <v/>
      </c>
      <c r="EY11" s="46" t="str">
        <f t="shared" si="7"/>
        <v/>
      </c>
      <c r="EZ11" s="46" t="str">
        <f t="shared" si="7"/>
        <v/>
      </c>
      <c r="FA11" s="46"/>
      <c r="FB11" s="46"/>
      <c r="FC11" s="46"/>
      <c r="FD11" s="46"/>
      <c r="FE11" s="46"/>
      <c r="FF11" s="46">
        <f t="shared" si="9"/>
        <v>74059.606</v>
      </c>
      <c r="FG11" s="46">
        <f t="shared" si="9"/>
        <v>75533.587</v>
      </c>
      <c r="FH11" s="46"/>
      <c r="FI11" s="46"/>
      <c r="FJ11" s="46">
        <f t="shared" si="10"/>
        <v>75533.587</v>
      </c>
      <c r="FK11" s="45"/>
      <c r="FL11" s="46"/>
      <c r="FM11" s="46"/>
      <c r="FN11" s="46"/>
      <c r="FO11" s="46"/>
      <c r="FP11" s="46"/>
      <c r="FQ11" s="46"/>
      <c r="FR11" s="46"/>
      <c r="FS11" s="46"/>
      <c r="FT11" s="46"/>
      <c r="FU11" s="46"/>
      <c r="FV11" s="46"/>
      <c r="FW11" s="46"/>
      <c r="FX11" s="46">
        <v>12069.612999999999</v>
      </c>
      <c r="FY11" s="46">
        <v>11767.594999999999</v>
      </c>
      <c r="FZ11" s="46"/>
      <c r="GA11" s="46"/>
      <c r="GB11" s="40">
        <f>FY11</f>
        <v>11767.594999999999</v>
      </c>
      <c r="GC11" s="45"/>
      <c r="GD11" s="46"/>
      <c r="GE11" s="46"/>
      <c r="GF11" s="46"/>
      <c r="GG11" s="46"/>
      <c r="GH11" s="46"/>
      <c r="GI11" s="46"/>
      <c r="GJ11" s="46"/>
      <c r="GK11" s="46"/>
      <c r="GL11" s="46"/>
      <c r="GM11" s="46"/>
      <c r="GN11" s="46"/>
      <c r="GO11" s="46"/>
      <c r="GP11" s="46">
        <v>9916.7620000000006</v>
      </c>
      <c r="GQ11" s="46">
        <v>4958.7520000000004</v>
      </c>
      <c r="GR11" s="46"/>
      <c r="GS11" s="46"/>
      <c r="GT11" s="40"/>
      <c r="GU11" s="45"/>
      <c r="GV11" s="46"/>
      <c r="GW11" s="46"/>
      <c r="GX11" s="46"/>
      <c r="GY11" s="46"/>
      <c r="GZ11" s="46"/>
      <c r="HA11" s="46"/>
      <c r="HB11" s="46"/>
      <c r="HC11" s="46"/>
      <c r="HD11" s="46"/>
      <c r="HE11" s="46"/>
      <c r="HF11" s="46"/>
      <c r="HG11" s="46"/>
      <c r="HH11" s="46">
        <v>2041.0540000000001</v>
      </c>
      <c r="HI11" s="46">
        <v>2650.0079999999998</v>
      </c>
      <c r="HJ11" s="46"/>
      <c r="HK11" s="46"/>
      <c r="HL11" s="40"/>
      <c r="HM11" s="45" t="str">
        <f t="shared" si="11"/>
        <v/>
      </c>
      <c r="HN11" s="46" t="str">
        <f t="shared" si="11"/>
        <v/>
      </c>
      <c r="HO11" s="46" t="str">
        <f t="shared" si="11"/>
        <v/>
      </c>
      <c r="HP11" s="46" t="str">
        <f t="shared" si="11"/>
        <v/>
      </c>
      <c r="HQ11" s="46" t="str">
        <f t="shared" si="11"/>
        <v/>
      </c>
      <c r="HR11" s="46" t="str">
        <f t="shared" si="11"/>
        <v/>
      </c>
      <c r="HS11" s="46" t="str">
        <f t="shared" si="11"/>
        <v/>
      </c>
      <c r="HT11" s="46" t="str">
        <f t="shared" si="11"/>
        <v/>
      </c>
      <c r="HU11" s="46"/>
      <c r="HV11" s="46"/>
      <c r="HW11" s="46"/>
      <c r="HX11" s="46"/>
      <c r="HY11" s="46"/>
      <c r="HZ11" s="46">
        <f t="shared" si="12"/>
        <v>7875.7080000000005</v>
      </c>
      <c r="IA11" s="46">
        <f t="shared" si="12"/>
        <v>2308.7440000000006</v>
      </c>
      <c r="IB11" s="46"/>
      <c r="IC11" s="46"/>
      <c r="ID11" s="46" t="str">
        <f t="shared" si="13"/>
        <v/>
      </c>
      <c r="IE11" s="47" t="str">
        <f t="shared" si="14"/>
        <v/>
      </c>
      <c r="IF11" s="48" t="str">
        <f t="shared" si="14"/>
        <v/>
      </c>
      <c r="IG11" s="48" t="str">
        <f t="shared" si="14"/>
        <v/>
      </c>
      <c r="IH11" s="48" t="str">
        <f t="shared" si="14"/>
        <v/>
      </c>
      <c r="II11" s="48" t="str">
        <f t="shared" si="14"/>
        <v/>
      </c>
      <c r="IJ11" s="48" t="str">
        <f t="shared" si="14"/>
        <v/>
      </c>
      <c r="IK11" s="48" t="str">
        <f t="shared" si="14"/>
        <v/>
      </c>
      <c r="IL11" s="48" t="str">
        <f t="shared" si="14"/>
        <v/>
      </c>
      <c r="IM11" s="48"/>
      <c r="IN11" s="48"/>
      <c r="IO11" s="48"/>
      <c r="IP11" s="48"/>
      <c r="IQ11" s="48"/>
      <c r="IR11" s="48">
        <f t="shared" si="15"/>
        <v>2.2344866605193348</v>
      </c>
      <c r="IS11" s="48">
        <f t="shared" si="15"/>
        <v>1.9272586626666766</v>
      </c>
      <c r="IT11" s="48"/>
      <c r="IU11" s="48"/>
      <c r="IV11" s="48" t="str">
        <f t="shared" si="16"/>
        <v/>
      </c>
      <c r="IW11" s="47" t="str">
        <f t="shared" si="17"/>
        <v/>
      </c>
      <c r="IX11" s="48" t="str">
        <f t="shared" si="17"/>
        <v/>
      </c>
      <c r="IY11" s="48" t="str">
        <f t="shared" si="17"/>
        <v/>
      </c>
      <c r="IZ11" s="48" t="str">
        <f t="shared" si="17"/>
        <v/>
      </c>
      <c r="JA11" s="48" t="str">
        <f t="shared" si="17"/>
        <v/>
      </c>
      <c r="JB11" s="48" t="str">
        <f t="shared" si="17"/>
        <v/>
      </c>
      <c r="JC11" s="48" t="str">
        <f t="shared" si="17"/>
        <v/>
      </c>
      <c r="JD11" s="48" t="str">
        <f t="shared" si="17"/>
        <v/>
      </c>
      <c r="JE11" s="48" t="str">
        <f t="shared" si="17"/>
        <v/>
      </c>
      <c r="JF11" s="48" t="str">
        <f t="shared" si="17"/>
        <v/>
      </c>
      <c r="JG11" s="48" t="str">
        <f t="shared" si="17"/>
        <v/>
      </c>
      <c r="JH11" s="48" t="str">
        <f t="shared" si="17"/>
        <v/>
      </c>
      <c r="JI11" s="48"/>
      <c r="JJ11" s="48">
        <f t="shared" si="18"/>
        <v>6.7976727457873878</v>
      </c>
      <c r="JK11" s="48">
        <f t="shared" si="18"/>
        <v>7.090600599449167</v>
      </c>
      <c r="JL11" s="48" t="str">
        <f t="shared" si="18"/>
        <v/>
      </c>
      <c r="JM11" s="48"/>
      <c r="JN11" s="48" t="str">
        <f t="shared" si="19"/>
        <v/>
      </c>
      <c r="JO11" s="47" t="str">
        <f t="shared" si="20"/>
        <v/>
      </c>
      <c r="JP11" s="48" t="str">
        <f t="shared" si="20"/>
        <v/>
      </c>
      <c r="JQ11" s="48" t="str">
        <f t="shared" si="20"/>
        <v/>
      </c>
      <c r="JR11" s="48" t="str">
        <f t="shared" si="20"/>
        <v/>
      </c>
      <c r="JS11" s="48" t="str">
        <f t="shared" si="20"/>
        <v/>
      </c>
      <c r="JT11" s="48" t="str">
        <f t="shared" si="20"/>
        <v/>
      </c>
      <c r="JU11" s="48" t="str">
        <f t="shared" si="20"/>
        <v/>
      </c>
      <c r="JV11" s="48" t="str">
        <f t="shared" si="20"/>
        <v/>
      </c>
      <c r="JW11" s="48"/>
      <c r="JX11" s="48"/>
      <c r="JY11" s="48"/>
      <c r="JZ11" s="48"/>
      <c r="KA11" s="48"/>
      <c r="KB11" s="48">
        <f t="shared" si="22"/>
        <v>7.127328387676374</v>
      </c>
      <c r="KC11" s="48">
        <f t="shared" si="22"/>
        <v>7.3854540939021813</v>
      </c>
      <c r="KD11" s="48"/>
      <c r="KE11" s="48"/>
      <c r="KF11" s="48" t="str">
        <f t="shared" si="23"/>
        <v/>
      </c>
      <c r="KG11" s="49">
        <f t="shared" si="24"/>
        <v>71457.894</v>
      </c>
      <c r="KH11" s="50">
        <f>KG11/R11-1</f>
        <v>0.11120881342384781</v>
      </c>
      <c r="KI11" s="49">
        <f t="shared" si="25"/>
        <v>6911.3449999999993</v>
      </c>
      <c r="KJ11" s="50">
        <f>KI11/AJ11-1</f>
        <v>-8.3611168751785869E-2</v>
      </c>
      <c r="KK11" s="51">
        <f t="shared" si="26"/>
        <v>9.671912525157822E-2</v>
      </c>
      <c r="KL11" s="52">
        <f t="shared" si="27"/>
        <v>75533.587</v>
      </c>
      <c r="KM11" s="52">
        <f t="shared" si="28"/>
        <v>11767.594999999999</v>
      </c>
      <c r="KN11" s="52">
        <f t="shared" si="29"/>
        <v>4958.7520000000004</v>
      </c>
      <c r="KO11" s="53">
        <f t="shared" si="30"/>
        <v>1.9272586626666766</v>
      </c>
      <c r="KP11" s="54">
        <f>IR11</f>
        <v>2.2344866605193348</v>
      </c>
      <c r="KQ11" s="53">
        <f t="shared" si="31"/>
        <v>7.090600599449167</v>
      </c>
      <c r="KR11" s="54">
        <f>JJ11</f>
        <v>6.7976727457873878</v>
      </c>
      <c r="KS11" s="53">
        <f t="shared" si="32"/>
        <v>7.3854540939021813</v>
      </c>
      <c r="KT11" s="54">
        <f>KB11</f>
        <v>7.127328387676374</v>
      </c>
      <c r="KU11" s="55">
        <v>2024</v>
      </c>
      <c r="KV11" s="61">
        <v>2</v>
      </c>
      <c r="KW11" s="60" t="s">
        <v>66</v>
      </c>
      <c r="KX11" s="60"/>
      <c r="KY11" s="37" t="s">
        <v>84</v>
      </c>
      <c r="KZ11" s="60" t="s">
        <v>85</v>
      </c>
      <c r="LA11" s="60" t="s">
        <v>119</v>
      </c>
      <c r="LB11" s="62" t="s">
        <v>113</v>
      </c>
      <c r="LC11" s="60"/>
      <c r="LD11" s="63" t="s">
        <v>120</v>
      </c>
      <c r="LE11" s="64"/>
      <c r="LF11" s="65" t="s">
        <v>121</v>
      </c>
    </row>
    <row r="12" spans="1:318" x14ac:dyDescent="0.25">
      <c r="A12" s="36" t="s">
        <v>122</v>
      </c>
      <c r="B12" s="37" t="s">
        <v>122</v>
      </c>
      <c r="C12" s="37" t="str">
        <f>INDEX('[1]Property Summary'!AB:AB,MATCH($A12,'[1]Property Summary'!$F:$F,FALSE))</f>
        <v>PC Acquisition</v>
      </c>
      <c r="D12" s="38"/>
      <c r="R12" s="39">
        <v>3456.38357</v>
      </c>
      <c r="S12" s="39">
        <v>3694</v>
      </c>
      <c r="T12" s="39">
        <v>3658</v>
      </c>
      <c r="V12" s="40">
        <f>T12</f>
        <v>3658</v>
      </c>
      <c r="AJ12" s="39">
        <f>-37.894+61.209+31.46351+9.04+23.136</f>
        <v>86.954509999999999</v>
      </c>
      <c r="AK12" s="39">
        <f>40.7+44.3+28.2+19+61.5</f>
        <v>193.7</v>
      </c>
      <c r="AL12" s="39">
        <f>3+36.6+28.2+22.2+15</f>
        <v>105</v>
      </c>
      <c r="AN12" s="40">
        <f>AL12</f>
        <v>105</v>
      </c>
      <c r="AO12" s="42" t="str">
        <f t="shared" si="0"/>
        <v/>
      </c>
      <c r="AP12" s="43" t="str">
        <f t="shared" si="0"/>
        <v/>
      </c>
      <c r="AQ12" s="43" t="str">
        <f t="shared" si="0"/>
        <v/>
      </c>
      <c r="AR12" s="43" t="str">
        <f t="shared" si="0"/>
        <v/>
      </c>
      <c r="AS12" s="43" t="str">
        <f t="shared" si="0"/>
        <v/>
      </c>
      <c r="AT12" s="43" t="str">
        <f t="shared" si="0"/>
        <v/>
      </c>
      <c r="AU12" s="43" t="str">
        <f t="shared" si="0"/>
        <v/>
      </c>
      <c r="AV12" s="43" t="str">
        <f t="shared" si="0"/>
        <v/>
      </c>
      <c r="AW12" s="43"/>
      <c r="AX12" s="43"/>
      <c r="AY12" s="43"/>
      <c r="AZ12" s="43"/>
      <c r="BA12" s="43"/>
      <c r="BB12" s="43">
        <f t="shared" si="1"/>
        <v>2.5157656330370762E-2</v>
      </c>
      <c r="BC12" s="43">
        <f t="shared" si="1"/>
        <v>5.2436383324309686E-2</v>
      </c>
      <c r="BD12" s="43">
        <f t="shared" si="1"/>
        <v>2.8704209950792783E-2</v>
      </c>
      <c r="BE12" s="43"/>
      <c r="BF12" s="44">
        <f t="shared" si="2"/>
        <v>2.8704209950792783E-2</v>
      </c>
      <c r="BT12" s="39">
        <v>31.463000000000001</v>
      </c>
      <c r="BU12" s="39">
        <v>28.2</v>
      </c>
      <c r="BV12" s="39">
        <v>28.2</v>
      </c>
      <c r="BX12" s="40">
        <f>BV12</f>
        <v>28.2</v>
      </c>
      <c r="CL12" s="39">
        <v>144.04</v>
      </c>
      <c r="CM12" s="39">
        <v>145.6</v>
      </c>
      <c r="CN12" s="39">
        <v>176.2</v>
      </c>
      <c r="CP12" s="40">
        <f>CN12</f>
        <v>176.2</v>
      </c>
      <c r="CQ12" s="41" t="str">
        <f t="shared" si="3"/>
        <v/>
      </c>
      <c r="CR12" s="39" t="str">
        <f t="shared" si="3"/>
        <v/>
      </c>
      <c r="CS12" s="39" t="str">
        <f t="shared" si="3"/>
        <v/>
      </c>
      <c r="CT12" s="39" t="str">
        <f t="shared" si="3"/>
        <v/>
      </c>
      <c r="CU12" s="39" t="str">
        <f t="shared" si="3"/>
        <v/>
      </c>
      <c r="CV12" s="39" t="str">
        <f t="shared" si="3"/>
        <v/>
      </c>
      <c r="CW12" s="39" t="str">
        <f t="shared" si="3"/>
        <v/>
      </c>
      <c r="CX12" s="39" t="str">
        <f t="shared" si="3"/>
        <v/>
      </c>
      <c r="DD12" s="39">
        <f t="shared" si="4"/>
        <v>230.99450999999999</v>
      </c>
      <c r="DE12" s="39">
        <f t="shared" si="4"/>
        <v>339.29999999999995</v>
      </c>
      <c r="DF12" s="39">
        <f t="shared" si="4"/>
        <v>281.2</v>
      </c>
      <c r="DH12" s="39">
        <f t="shared" si="5"/>
        <v>281.2</v>
      </c>
      <c r="DV12" s="39">
        <f>CL12*8</f>
        <v>1152.32</v>
      </c>
      <c r="DW12" s="39">
        <f>CM12*8</f>
        <v>1164.8</v>
      </c>
      <c r="DX12" s="39">
        <f>CN12*8</f>
        <v>1409.6</v>
      </c>
      <c r="DZ12" s="40">
        <f>CP12*8</f>
        <v>1409.6</v>
      </c>
      <c r="EA12" s="45"/>
      <c r="EB12" s="46"/>
      <c r="EC12" s="46"/>
      <c r="ED12" s="46"/>
      <c r="EE12" s="46"/>
      <c r="EF12" s="46"/>
      <c r="EG12" s="46"/>
      <c r="EH12" s="46"/>
      <c r="EI12" s="46"/>
      <c r="EJ12" s="46"/>
      <c r="EK12" s="46"/>
      <c r="EL12" s="46"/>
      <c r="EM12" s="46"/>
      <c r="EN12" s="46">
        <f>161.932+395.025+443.127+397.203</f>
        <v>1397.287</v>
      </c>
      <c r="EO12" s="46">
        <f>105.7+344+399+281+9</f>
        <v>1138.7</v>
      </c>
      <c r="EP12" s="46">
        <f>85.7+300+352.4+164.7+6.8</f>
        <v>909.59999999999991</v>
      </c>
      <c r="EQ12" s="46"/>
      <c r="ER12" s="40">
        <f>EP12</f>
        <v>909.59999999999991</v>
      </c>
      <c r="ES12" s="45" t="str">
        <f t="shared" si="7"/>
        <v/>
      </c>
      <c r="ET12" s="46" t="str">
        <f t="shared" si="7"/>
        <v/>
      </c>
      <c r="EU12" s="46" t="str">
        <f t="shared" si="7"/>
        <v/>
      </c>
      <c r="EV12" s="46" t="str">
        <f t="shared" si="7"/>
        <v/>
      </c>
      <c r="EW12" s="46" t="str">
        <f t="shared" si="7"/>
        <v/>
      </c>
      <c r="EX12" s="46" t="str">
        <f t="shared" si="7"/>
        <v/>
      </c>
      <c r="EY12" s="46" t="str">
        <f t="shared" si="7"/>
        <v/>
      </c>
      <c r="EZ12" s="46" t="str">
        <f t="shared" si="7"/>
        <v/>
      </c>
      <c r="FA12" s="46"/>
      <c r="FB12" s="46"/>
      <c r="FC12" s="46"/>
      <c r="FD12" s="46"/>
      <c r="FE12" s="46"/>
      <c r="FF12" s="46">
        <f t="shared" si="9"/>
        <v>2549.607</v>
      </c>
      <c r="FG12" s="46">
        <f t="shared" si="9"/>
        <v>2303.5</v>
      </c>
      <c r="FH12" s="46">
        <f t="shared" si="9"/>
        <v>2319.1999999999998</v>
      </c>
      <c r="FI12" s="46"/>
      <c r="FJ12" s="46">
        <f t="shared" si="10"/>
        <v>2319.1999999999998</v>
      </c>
      <c r="FK12" s="45"/>
      <c r="FL12" s="46"/>
      <c r="FM12" s="46"/>
      <c r="FN12" s="46"/>
      <c r="FO12" s="46"/>
      <c r="FP12" s="46"/>
      <c r="FQ12" s="46"/>
      <c r="FR12" s="46"/>
      <c r="FS12" s="46"/>
      <c r="FT12" s="46"/>
      <c r="FU12" s="46"/>
      <c r="FV12" s="46"/>
      <c r="FW12" s="46"/>
      <c r="FX12" s="46">
        <f>3.325+141.41</f>
        <v>144.73499999999999</v>
      </c>
      <c r="FY12" s="46">
        <f>3.2+247.958</f>
        <v>251.15799999999999</v>
      </c>
      <c r="FZ12" s="46">
        <f>2.7+142.4</f>
        <v>145.1</v>
      </c>
      <c r="GA12" s="46"/>
      <c r="GB12" s="40">
        <f>FZ12</f>
        <v>145.1</v>
      </c>
      <c r="GC12" s="45"/>
      <c r="GD12" s="46"/>
      <c r="GE12" s="46"/>
      <c r="GF12" s="46"/>
      <c r="GG12" s="46"/>
      <c r="GH12" s="46"/>
      <c r="GI12" s="46"/>
      <c r="GJ12" s="46"/>
      <c r="GK12" s="46"/>
      <c r="GL12" s="46"/>
      <c r="GM12" s="46"/>
      <c r="GN12" s="46"/>
      <c r="GO12" s="46"/>
      <c r="GP12" s="46">
        <v>267.38900000000001</v>
      </c>
      <c r="GQ12" s="46">
        <v>476.76900000000001</v>
      </c>
      <c r="GR12" s="46"/>
      <c r="GS12" s="46"/>
      <c r="GT12" s="40">
        <f>216/0.75</f>
        <v>288</v>
      </c>
      <c r="GU12" s="45"/>
      <c r="GV12" s="46"/>
      <c r="GW12" s="46"/>
      <c r="GX12" s="46"/>
      <c r="GY12" s="46"/>
      <c r="GZ12" s="46"/>
      <c r="HA12" s="46"/>
      <c r="HB12" s="46"/>
      <c r="HC12" s="46"/>
      <c r="HD12" s="46"/>
      <c r="HE12" s="46"/>
      <c r="HF12" s="46"/>
      <c r="HG12" s="46"/>
      <c r="HH12" s="46">
        <f>30.3+4.2</f>
        <v>34.5</v>
      </c>
      <c r="HI12" s="46">
        <f>41.1+61.5</f>
        <v>102.6</v>
      </c>
      <c r="HJ12" s="46"/>
      <c r="HK12" s="46"/>
      <c r="HL12" s="40">
        <f>68.2/0.75</f>
        <v>90.933333333333337</v>
      </c>
      <c r="HM12" s="45" t="str">
        <f t="shared" si="11"/>
        <v/>
      </c>
      <c r="HN12" s="46" t="str">
        <f t="shared" si="11"/>
        <v/>
      </c>
      <c r="HO12" s="46" t="str">
        <f t="shared" si="11"/>
        <v/>
      </c>
      <c r="HP12" s="46" t="str">
        <f t="shared" si="11"/>
        <v/>
      </c>
      <c r="HQ12" s="46" t="str">
        <f t="shared" si="11"/>
        <v/>
      </c>
      <c r="HR12" s="46" t="str">
        <f t="shared" si="11"/>
        <v/>
      </c>
      <c r="HS12" s="46" t="str">
        <f t="shared" si="11"/>
        <v/>
      </c>
      <c r="HT12" s="46" t="str">
        <f t="shared" si="11"/>
        <v/>
      </c>
      <c r="HU12" s="46"/>
      <c r="HV12" s="46"/>
      <c r="HW12" s="46"/>
      <c r="HX12" s="46"/>
      <c r="HY12" s="46"/>
      <c r="HZ12" s="46">
        <f t="shared" si="12"/>
        <v>232.88900000000001</v>
      </c>
      <c r="IA12" s="46">
        <f t="shared" si="12"/>
        <v>374.16899999999998</v>
      </c>
      <c r="IB12" s="46" t="str">
        <f t="shared" si="12"/>
        <v/>
      </c>
      <c r="IC12" s="46"/>
      <c r="ID12" s="46">
        <f t="shared" si="13"/>
        <v>197.06666666666666</v>
      </c>
      <c r="IE12" s="47" t="str">
        <f t="shared" si="14"/>
        <v/>
      </c>
      <c r="IF12" s="48" t="str">
        <f t="shared" si="14"/>
        <v/>
      </c>
      <c r="IG12" s="48" t="str">
        <f t="shared" si="14"/>
        <v/>
      </c>
      <c r="IH12" s="48" t="str">
        <f t="shared" si="14"/>
        <v/>
      </c>
      <c r="II12" s="48" t="str">
        <f t="shared" si="14"/>
        <v/>
      </c>
      <c r="IJ12" s="48" t="str">
        <f t="shared" si="14"/>
        <v/>
      </c>
      <c r="IK12" s="48" t="str">
        <f t="shared" si="14"/>
        <v/>
      </c>
      <c r="IL12" s="48" t="str">
        <f t="shared" si="14"/>
        <v/>
      </c>
      <c r="IM12" s="48"/>
      <c r="IN12" s="48"/>
      <c r="IO12" s="48"/>
      <c r="IP12" s="48"/>
      <c r="IQ12" s="48"/>
      <c r="IR12" s="48">
        <f t="shared" si="15"/>
        <v>1.3161855352899952</v>
      </c>
      <c r="IS12" s="48">
        <f t="shared" si="15"/>
        <v>1.9522439585730724</v>
      </c>
      <c r="IT12" s="48">
        <f t="shared" si="15"/>
        <v>1.3757338551859102</v>
      </c>
      <c r="IU12" s="48"/>
      <c r="IV12" s="48">
        <f t="shared" si="16"/>
        <v>1.3757338551859102</v>
      </c>
      <c r="IW12" s="47" t="str">
        <f t="shared" si="17"/>
        <v/>
      </c>
      <c r="IX12" s="48" t="str">
        <f t="shared" si="17"/>
        <v/>
      </c>
      <c r="IY12" s="48" t="str">
        <f t="shared" si="17"/>
        <v/>
      </c>
      <c r="IZ12" s="48" t="str">
        <f t="shared" si="17"/>
        <v/>
      </c>
      <c r="JA12" s="48" t="str">
        <f t="shared" si="17"/>
        <v/>
      </c>
      <c r="JB12" s="48" t="str">
        <f t="shared" si="17"/>
        <v/>
      </c>
      <c r="JC12" s="48" t="str">
        <f t="shared" si="17"/>
        <v/>
      </c>
      <c r="JD12" s="48" t="str">
        <f t="shared" si="17"/>
        <v/>
      </c>
      <c r="JE12" s="48" t="str">
        <f t="shared" si="17"/>
        <v/>
      </c>
      <c r="JF12" s="48" t="str">
        <f t="shared" si="17"/>
        <v/>
      </c>
      <c r="JG12" s="48" t="str">
        <f t="shared" si="17"/>
        <v/>
      </c>
      <c r="JH12" s="48" t="str">
        <f t="shared" si="17"/>
        <v/>
      </c>
      <c r="JI12" s="48"/>
      <c r="JJ12" s="48">
        <f t="shared" si="18"/>
        <v>16.069172260300242</v>
      </c>
      <c r="JK12" s="48">
        <f t="shared" si="18"/>
        <v>5.8786783686112551</v>
      </c>
      <c r="JL12" s="48">
        <f t="shared" si="18"/>
        <v>8.6628571428571419</v>
      </c>
      <c r="JM12" s="48"/>
      <c r="JN12" s="48">
        <f t="shared" si="19"/>
        <v>8.6628571428571419</v>
      </c>
      <c r="JO12" s="47" t="str">
        <f t="shared" si="20"/>
        <v/>
      </c>
      <c r="JP12" s="48" t="str">
        <f t="shared" si="20"/>
        <v/>
      </c>
      <c r="JQ12" s="48" t="str">
        <f t="shared" si="20"/>
        <v/>
      </c>
      <c r="JR12" s="48" t="str">
        <f t="shared" si="20"/>
        <v/>
      </c>
      <c r="JS12" s="48" t="str">
        <f t="shared" si="20"/>
        <v/>
      </c>
      <c r="JT12" s="48" t="str">
        <f t="shared" si="20"/>
        <v/>
      </c>
      <c r="JU12" s="48" t="str">
        <f t="shared" si="20"/>
        <v/>
      </c>
      <c r="JV12" s="48" t="str">
        <f t="shared" si="20"/>
        <v/>
      </c>
      <c r="JW12" s="48"/>
      <c r="JX12" s="48"/>
      <c r="JY12" s="48"/>
      <c r="JZ12" s="48"/>
      <c r="KA12" s="48"/>
      <c r="KB12" s="48">
        <f t="shared" si="22"/>
        <v>11.037522060589232</v>
      </c>
      <c r="KC12" s="48">
        <f t="shared" si="22"/>
        <v>6.788977306218686</v>
      </c>
      <c r="KD12" s="48">
        <f>IFERROR(FH12/(DF12),"")</f>
        <v>8.2475106685632991</v>
      </c>
      <c r="KE12" s="48"/>
      <c r="KF12" s="48">
        <f t="shared" si="23"/>
        <v>8.2475106685632991</v>
      </c>
      <c r="KG12" s="49">
        <f t="shared" si="24"/>
        <v>3658</v>
      </c>
      <c r="KH12" s="66">
        <f t="shared" ref="KH12:KH19" si="35">KG12/S12-1</f>
        <v>-9.7455332972388176E-3</v>
      </c>
      <c r="KI12" s="49">
        <f t="shared" si="25"/>
        <v>105</v>
      </c>
      <c r="KJ12" s="66">
        <f t="shared" ref="KJ12:KJ19" si="36">KI12/AK12-1</f>
        <v>-0.45792462570986059</v>
      </c>
      <c r="KK12" s="51">
        <f t="shared" si="26"/>
        <v>2.8704209950792783E-2</v>
      </c>
      <c r="KL12" s="52">
        <f t="shared" si="27"/>
        <v>2319.1999999999998</v>
      </c>
      <c r="KM12" s="52">
        <f t="shared" si="28"/>
        <v>145.1</v>
      </c>
      <c r="KN12" s="52">
        <f t="shared" si="29"/>
        <v>288</v>
      </c>
      <c r="KO12" s="53">
        <f t="shared" si="30"/>
        <v>1.3757338551859102</v>
      </c>
      <c r="KP12" s="54">
        <f t="shared" ref="KP12:KP19" si="37">IS12</f>
        <v>1.9522439585730724</v>
      </c>
      <c r="KQ12" s="53">
        <f t="shared" si="31"/>
        <v>8.6628571428571419</v>
      </c>
      <c r="KR12" s="54">
        <f t="shared" ref="KR12:KR27" si="38">JK12</f>
        <v>5.8786783686112551</v>
      </c>
      <c r="KS12" s="53">
        <f t="shared" si="32"/>
        <v>8.2475106685632991</v>
      </c>
      <c r="KT12" s="54">
        <f t="shared" ref="KT12:KT19" si="39">KC12</f>
        <v>6.788977306218686</v>
      </c>
      <c r="KU12" s="55" t="s">
        <v>65</v>
      </c>
      <c r="KV12" s="61">
        <v>2</v>
      </c>
      <c r="KW12" s="37" t="s">
        <v>66</v>
      </c>
      <c r="KY12" s="37" t="s">
        <v>123</v>
      </c>
      <c r="KZ12" s="37" t="s">
        <v>124</v>
      </c>
      <c r="LA12" s="37" t="s">
        <v>125</v>
      </c>
      <c r="LB12" s="57" t="s">
        <v>126</v>
      </c>
      <c r="LD12" s="58" t="s">
        <v>127</v>
      </c>
      <c r="LE12" s="12" t="s">
        <v>80</v>
      </c>
      <c r="LF12" s="59" t="s">
        <v>128</v>
      </c>
    </row>
    <row r="13" spans="1:318" x14ac:dyDescent="0.25">
      <c r="A13" s="36" t="s">
        <v>129</v>
      </c>
      <c r="B13" s="37" t="s">
        <v>130</v>
      </c>
      <c r="C13" s="37" t="str">
        <f>INDEX('[1]Property Summary'!AB:AB,MATCH($A13,'[1]Property Summary'!$F:$F,FALSE))</f>
        <v>OH Abilene</v>
      </c>
      <c r="D13" s="38"/>
      <c r="K13" s="39">
        <f>24924+25372+25071</f>
        <v>75367</v>
      </c>
      <c r="L13" s="39">
        <f>26569+24837+25401</f>
        <v>76807</v>
      </c>
      <c r="M13" s="39">
        <f>39715+37772+41488</f>
        <v>118975</v>
      </c>
      <c r="N13" s="39">
        <f>42189+42505+42712</f>
        <v>127406</v>
      </c>
      <c r="O13" s="39">
        <f>(43.95+44.96+42.6)*1000</f>
        <v>131510</v>
      </c>
      <c r="P13" s="39">
        <f>(44.66+42.42+43.06)*1000</f>
        <v>130139.99999999999</v>
      </c>
      <c r="R13" s="39">
        <v>252933</v>
      </c>
      <c r="S13" s="39">
        <v>295950</v>
      </c>
      <c r="T13" s="39">
        <f>SUM(M13:P13)</f>
        <v>508031</v>
      </c>
      <c r="V13" s="40">
        <f>SUM(M13:P13)</f>
        <v>508031</v>
      </c>
      <c r="AC13" s="39">
        <f>1567+806+1372</f>
        <v>3745</v>
      </c>
      <c r="AD13" s="39">
        <f>1882+396-1667</f>
        <v>611</v>
      </c>
      <c r="AE13" s="39">
        <f>-8433+3002+5064</f>
        <v>-367</v>
      </c>
      <c r="AF13" s="39">
        <f>5303+4133+4459</f>
        <v>13895</v>
      </c>
      <c r="AG13" s="39">
        <f>5654+5254+3177</f>
        <v>14085</v>
      </c>
      <c r="AH13" s="39">
        <f>4405+3030+1870</f>
        <v>9305</v>
      </c>
      <c r="AJ13" s="39">
        <v>23389</v>
      </c>
      <c r="AK13" s="39">
        <f>-18809+474+4156+3185+32504</f>
        <v>21510</v>
      </c>
      <c r="AL13" s="39">
        <f>SUM(AE13:AH13)</f>
        <v>36918</v>
      </c>
      <c r="AN13" s="40">
        <f>SUM(AE13:AH13)</f>
        <v>36918</v>
      </c>
      <c r="AO13" s="42" t="str">
        <f t="shared" si="0"/>
        <v/>
      </c>
      <c r="AP13" s="43" t="str">
        <f t="shared" si="0"/>
        <v/>
      </c>
      <c r="AQ13" s="43" t="str">
        <f t="shared" si="0"/>
        <v/>
      </c>
      <c r="AR13" s="43" t="str">
        <f t="shared" si="0"/>
        <v/>
      </c>
      <c r="AS13" s="43" t="str">
        <f t="shared" si="0"/>
        <v/>
      </c>
      <c r="AT13" s="43" t="str">
        <f t="shared" si="0"/>
        <v/>
      </c>
      <c r="AU13" s="43">
        <f t="shared" si="0"/>
        <v>4.9690182705958839E-2</v>
      </c>
      <c r="AV13" s="43">
        <f t="shared" si="0"/>
        <v>7.9550041011886945E-3</v>
      </c>
      <c r="AW13" s="43">
        <f t="shared" si="0"/>
        <v>-3.084681655810044E-3</v>
      </c>
      <c r="AX13" s="43">
        <f t="shared" si="0"/>
        <v>0.10906079776462647</v>
      </c>
      <c r="AY13" s="43">
        <f t="shared" si="0"/>
        <v>0.10710212151167212</v>
      </c>
      <c r="AZ13" s="43">
        <f t="shared" si="0"/>
        <v>7.1499923159674211E-2</v>
      </c>
      <c r="BA13" s="43"/>
      <c r="BB13" s="43">
        <f t="shared" si="1"/>
        <v>9.2471128717881809E-2</v>
      </c>
      <c r="BC13" s="43">
        <f t="shared" si="1"/>
        <v>7.2681196147997978E-2</v>
      </c>
      <c r="BD13" s="43">
        <f t="shared" si="1"/>
        <v>7.2668793833447168E-2</v>
      </c>
      <c r="BE13" s="43"/>
      <c r="BF13" s="44">
        <f t="shared" si="2"/>
        <v>7.2668793833447168E-2</v>
      </c>
      <c r="BM13" s="39">
        <f>1041+1034+1003</f>
        <v>3078</v>
      </c>
      <c r="BN13" s="39">
        <f>1030+1000+979</f>
        <v>3009</v>
      </c>
      <c r="BO13" s="39">
        <f>1947+1760+1946</f>
        <v>5653</v>
      </c>
      <c r="BP13" s="39">
        <f>1898+1961+1898</f>
        <v>5757</v>
      </c>
      <c r="BQ13" s="39">
        <f>1837+1824+1716</f>
        <v>5377</v>
      </c>
      <c r="BR13" s="39">
        <f>1759+1705+1763</f>
        <v>5227</v>
      </c>
      <c r="BT13" s="39">
        <v>11106</v>
      </c>
      <c r="BU13" s="39">
        <v>11483</v>
      </c>
      <c r="BV13" s="39">
        <f>SUM(BO13:BR13)</f>
        <v>22014</v>
      </c>
      <c r="BX13" s="40">
        <f>SUM(BO13:BR13)</f>
        <v>22014</v>
      </c>
      <c r="CE13" s="39">
        <f t="shared" ref="CE13:CJ13" si="40">(DO13/8)/4</f>
        <v>5379.40625</v>
      </c>
      <c r="CF13" s="39">
        <f t="shared" si="40"/>
        <v>5337.8125</v>
      </c>
      <c r="CG13" s="39">
        <f t="shared" si="40"/>
        <v>5289.21875</v>
      </c>
      <c r="CH13" s="39">
        <f t="shared" si="40"/>
        <v>7378.71875</v>
      </c>
      <c r="CI13" s="39">
        <f t="shared" si="40"/>
        <v>7330.03125</v>
      </c>
      <c r="CJ13" s="39">
        <f t="shared" si="40"/>
        <v>9027.4375</v>
      </c>
      <c r="CL13" s="39">
        <v>20156</v>
      </c>
      <c r="CM13" s="39">
        <v>23233</v>
      </c>
      <c r="CN13" s="39">
        <f>SUM(CG13:CJ13)</f>
        <v>29025.40625</v>
      </c>
      <c r="CP13" s="40">
        <f>SUM(CG13:CJ13)</f>
        <v>29025.40625</v>
      </c>
      <c r="CQ13" s="41" t="str">
        <f t="shared" si="3"/>
        <v/>
      </c>
      <c r="CR13" s="39" t="str">
        <f t="shared" si="3"/>
        <v/>
      </c>
      <c r="CS13" s="39" t="str">
        <f t="shared" si="3"/>
        <v/>
      </c>
      <c r="CT13" s="39" t="str">
        <f t="shared" si="3"/>
        <v/>
      </c>
      <c r="CU13" s="39" t="str">
        <f t="shared" si="3"/>
        <v/>
      </c>
      <c r="CV13" s="39" t="str">
        <f t="shared" si="3"/>
        <v/>
      </c>
      <c r="CW13" s="39">
        <f t="shared" si="3"/>
        <v>9124.40625</v>
      </c>
      <c r="CX13" s="39">
        <f t="shared" si="3"/>
        <v>5948.8125</v>
      </c>
      <c r="CY13" s="39">
        <f t="shared" si="3"/>
        <v>4922.21875</v>
      </c>
      <c r="CZ13" s="39">
        <f t="shared" si="3"/>
        <v>21273.71875</v>
      </c>
      <c r="DA13" s="39">
        <f t="shared" si="3"/>
        <v>21415.03125</v>
      </c>
      <c r="DB13" s="39">
        <f t="shared" si="3"/>
        <v>18332.4375</v>
      </c>
      <c r="DD13" s="39">
        <f t="shared" si="4"/>
        <v>43545</v>
      </c>
      <c r="DE13" s="39">
        <f t="shared" si="4"/>
        <v>44743</v>
      </c>
      <c r="DF13" s="39">
        <f t="shared" si="4"/>
        <v>65943.40625</v>
      </c>
      <c r="DH13" s="39">
        <f t="shared" si="5"/>
        <v>65943.40625</v>
      </c>
      <c r="DO13" s="39">
        <f>7766+164375</f>
        <v>172141</v>
      </c>
      <c r="DP13" s="39">
        <f>8010+162800</f>
        <v>170810</v>
      </c>
      <c r="DQ13" s="39">
        <f>8335+160920</f>
        <v>169255</v>
      </c>
      <c r="DR13" s="39">
        <f>11175+224944</f>
        <v>236119</v>
      </c>
      <c r="DS13" s="39">
        <f>11588+222973</f>
        <v>234561</v>
      </c>
      <c r="DT13" s="39">
        <f>11968+276910</f>
        <v>288878</v>
      </c>
      <c r="DV13" s="39">
        <f>7132+138542</f>
        <v>145674</v>
      </c>
      <c r="DW13" s="39">
        <f>8023+162988</f>
        <v>171011</v>
      </c>
      <c r="DX13" s="39">
        <f>DT13</f>
        <v>288878</v>
      </c>
      <c r="DZ13" s="40">
        <f>DT13</f>
        <v>288878</v>
      </c>
      <c r="EA13" s="45"/>
      <c r="EB13" s="46"/>
      <c r="EC13" s="46"/>
      <c r="ED13" s="46"/>
      <c r="EE13" s="46"/>
      <c r="EF13" s="46"/>
      <c r="EG13" s="46"/>
      <c r="EH13" s="46"/>
      <c r="EI13" s="46">
        <f>484+214526</f>
        <v>215010</v>
      </c>
      <c r="EJ13" s="46">
        <f>432+214598</f>
        <v>215030</v>
      </c>
      <c r="EK13" s="46">
        <f>398+214690</f>
        <v>215088</v>
      </c>
      <c r="EL13" s="46">
        <f>214783+369</f>
        <v>215152</v>
      </c>
      <c r="EM13" s="46"/>
      <c r="EN13" s="46">
        <f>2454+94791</f>
        <v>97245</v>
      </c>
      <c r="EO13" s="46">
        <f>554+214592</f>
        <v>215146</v>
      </c>
      <c r="EP13" s="46">
        <f>EL13</f>
        <v>215152</v>
      </c>
      <c r="EQ13" s="46"/>
      <c r="ER13" s="40">
        <f>EL13</f>
        <v>215152</v>
      </c>
      <c r="ES13" s="45" t="str">
        <f t="shared" si="7"/>
        <v/>
      </c>
      <c r="ET13" s="46" t="str">
        <f t="shared" si="7"/>
        <v/>
      </c>
      <c r="EU13" s="46" t="str">
        <f t="shared" si="7"/>
        <v/>
      </c>
      <c r="EV13" s="46" t="str">
        <f t="shared" si="7"/>
        <v/>
      </c>
      <c r="EW13" s="46" t="str">
        <f t="shared" si="7"/>
        <v/>
      </c>
      <c r="EX13" s="46" t="str">
        <f t="shared" si="7"/>
        <v/>
      </c>
      <c r="EY13" s="46"/>
      <c r="EZ13" s="46"/>
      <c r="FA13" s="46">
        <f t="shared" ref="FA13:FD14" si="41">IF(DQ13+EI13=0,"",DQ13+EI13)</f>
        <v>384265</v>
      </c>
      <c r="FB13" s="46">
        <f t="shared" si="41"/>
        <v>451149</v>
      </c>
      <c r="FC13" s="46">
        <f t="shared" si="41"/>
        <v>449649</v>
      </c>
      <c r="FD13" s="46">
        <f t="shared" si="41"/>
        <v>504030</v>
      </c>
      <c r="FE13" s="46"/>
      <c r="FF13" s="46">
        <f t="shared" si="9"/>
        <v>242919</v>
      </c>
      <c r="FG13" s="46">
        <f t="shared" si="9"/>
        <v>386157</v>
      </c>
      <c r="FH13" s="46">
        <f t="shared" si="9"/>
        <v>504030</v>
      </c>
      <c r="FI13" s="46"/>
      <c r="FJ13" s="46">
        <f t="shared" si="10"/>
        <v>504030</v>
      </c>
      <c r="FK13" s="45"/>
      <c r="FL13" s="46"/>
      <c r="FM13" s="46"/>
      <c r="FN13" s="46"/>
      <c r="FO13" s="46"/>
      <c r="FP13" s="46"/>
      <c r="FQ13" s="46"/>
      <c r="FR13" s="46"/>
      <c r="FS13" s="46">
        <v>16470</v>
      </c>
      <c r="FT13" s="46">
        <v>37242</v>
      </c>
      <c r="FU13" s="46">
        <v>37947</v>
      </c>
      <c r="FV13" s="46">
        <v>36875</v>
      </c>
      <c r="FW13" s="46"/>
      <c r="FX13" s="46">
        <v>11708</v>
      </c>
      <c r="FY13" s="46">
        <v>24699</v>
      </c>
      <c r="FZ13" s="46">
        <f>FV13</f>
        <v>36875</v>
      </c>
      <c r="GA13" s="46"/>
      <c r="GB13" s="40">
        <f>FV13</f>
        <v>36875</v>
      </c>
      <c r="GC13" s="45"/>
      <c r="GD13" s="46"/>
      <c r="GE13" s="46"/>
      <c r="GF13" s="46"/>
      <c r="GG13" s="46">
        <v>-1316</v>
      </c>
      <c r="GH13" s="46">
        <f>10366-GG13</f>
        <v>11682</v>
      </c>
      <c r="GI13" s="46">
        <f>13364-GH13-GG13</f>
        <v>2998</v>
      </c>
      <c r="GJ13" s="46">
        <f>-486-GI13-GH13-GG13</f>
        <v>-13850</v>
      </c>
      <c r="GK13" s="46">
        <v>-8942</v>
      </c>
      <c r="GL13" s="46">
        <f>14545-GK13</f>
        <v>23487</v>
      </c>
      <c r="GM13" s="46">
        <f>18180-GL13-GK13</f>
        <v>3635</v>
      </c>
      <c r="GN13" s="46">
        <f>21049-GM13-GL13-GK13</f>
        <v>2869</v>
      </c>
      <c r="GO13" s="46"/>
      <c r="GP13" s="46">
        <v>-4943</v>
      </c>
      <c r="GQ13" s="46">
        <v>-515</v>
      </c>
      <c r="GR13" s="46">
        <f>SUM(GK13:GN13)</f>
        <v>21049</v>
      </c>
      <c r="GS13" s="46"/>
      <c r="GT13" s="40">
        <f>SUM(GK13:GN13)</f>
        <v>21049</v>
      </c>
      <c r="GU13" s="45"/>
      <c r="GV13" s="46"/>
      <c r="GW13" s="46"/>
      <c r="GX13" s="46"/>
      <c r="GY13" s="46">
        <v>2358</v>
      </c>
      <c r="GZ13" s="46">
        <f>4412-GY13</f>
        <v>2054</v>
      </c>
      <c r="HA13" s="46">
        <f>5983-GZ13-GY13</f>
        <v>1571</v>
      </c>
      <c r="HB13" s="46">
        <f>7561-HA13-GZ13-GY13</f>
        <v>1578</v>
      </c>
      <c r="HC13" s="46">
        <v>1079</v>
      </c>
      <c r="HD13" s="46">
        <f>3026-HC13</f>
        <v>1947</v>
      </c>
      <c r="HE13" s="46">
        <f>5885-HD13-HC13</f>
        <v>2859</v>
      </c>
      <c r="HF13" s="46">
        <f>9715-HE13-HD13-HC13</f>
        <v>3830</v>
      </c>
      <c r="HG13" s="46"/>
      <c r="HH13" s="46">
        <v>10975</v>
      </c>
      <c r="HI13" s="46">
        <v>7562</v>
      </c>
      <c r="HJ13" s="46">
        <f>SUM(HC13:HF13)</f>
        <v>9715</v>
      </c>
      <c r="HK13" s="46"/>
      <c r="HL13" s="40">
        <f>SUM(HC13:HF13)</f>
        <v>9715</v>
      </c>
      <c r="HM13" s="45" t="str">
        <f t="shared" si="11"/>
        <v/>
      </c>
      <c r="HN13" s="46" t="str">
        <f t="shared" si="11"/>
        <v/>
      </c>
      <c r="HO13" s="46" t="str">
        <f t="shared" si="11"/>
        <v/>
      </c>
      <c r="HP13" s="46" t="str">
        <f t="shared" si="11"/>
        <v/>
      </c>
      <c r="HQ13" s="46">
        <f t="shared" si="11"/>
        <v>-3674</v>
      </c>
      <c r="HR13" s="46">
        <f t="shared" si="11"/>
        <v>9628</v>
      </c>
      <c r="HS13" s="46">
        <f t="shared" si="11"/>
        <v>1427</v>
      </c>
      <c r="HT13" s="46">
        <f t="shared" si="11"/>
        <v>-15428</v>
      </c>
      <c r="HU13" s="46">
        <f>IF(GK13-HC13=0,"",GK13-HC13)</f>
        <v>-10021</v>
      </c>
      <c r="HV13" s="46">
        <f>IF(GL13-HD13=0,"",GL13-HD13)</f>
        <v>21540</v>
      </c>
      <c r="HW13" s="46">
        <f>IF(GM13-HE13=0,"",GM13-HE13)</f>
        <v>776</v>
      </c>
      <c r="HX13" s="46">
        <f>IF(GN13-HF13=0,"",GN13-HF13)</f>
        <v>-961</v>
      </c>
      <c r="HY13" s="46"/>
      <c r="HZ13" s="46">
        <f t="shared" si="12"/>
        <v>-15918</v>
      </c>
      <c r="IA13" s="46">
        <f t="shared" si="12"/>
        <v>-8077</v>
      </c>
      <c r="IB13" s="46">
        <f t="shared" si="12"/>
        <v>11334</v>
      </c>
      <c r="IC13" s="46"/>
      <c r="ID13" s="46">
        <f t="shared" si="13"/>
        <v>11334</v>
      </c>
      <c r="IE13" s="47" t="str">
        <f t="shared" si="14"/>
        <v/>
      </c>
      <c r="IF13" s="48" t="str">
        <f t="shared" si="14"/>
        <v/>
      </c>
      <c r="IG13" s="48" t="str">
        <f t="shared" si="14"/>
        <v/>
      </c>
      <c r="IH13" s="48" t="str">
        <f t="shared" si="14"/>
        <v/>
      </c>
      <c r="II13" s="48" t="str">
        <f t="shared" si="14"/>
        <v/>
      </c>
      <c r="IJ13" s="48" t="str">
        <f t="shared" si="14"/>
        <v/>
      </c>
      <c r="IK13" s="48">
        <f t="shared" si="14"/>
        <v>1.0788657870136011</v>
      </c>
      <c r="IL13" s="48">
        <f t="shared" si="14"/>
        <v>0.71270470014751142</v>
      </c>
      <c r="IM13" s="48">
        <f t="shared" si="14"/>
        <v>0.44983735588360452</v>
      </c>
      <c r="IN13" s="48">
        <f t="shared" si="14"/>
        <v>1.6195321439871724</v>
      </c>
      <c r="IO13" s="48">
        <f t="shared" si="14"/>
        <v>1.6852898862588379</v>
      </c>
      <c r="IP13" s="48">
        <f t="shared" si="14"/>
        <v>1.286086350303195</v>
      </c>
      <c r="IQ13" s="48"/>
      <c r="IR13" s="48">
        <f t="shared" si="15"/>
        <v>1.3929051244322179</v>
      </c>
      <c r="IS13" s="48">
        <f t="shared" si="15"/>
        <v>1.2888293582209931</v>
      </c>
      <c r="IT13" s="48">
        <f t="shared" si="15"/>
        <v>1.2920096665505392</v>
      </c>
      <c r="IU13" s="48"/>
      <c r="IV13" s="48">
        <f t="shared" si="16"/>
        <v>1.2920096665505392</v>
      </c>
      <c r="IW13" s="47" t="str">
        <f t="shared" si="17"/>
        <v/>
      </c>
      <c r="IX13" s="48" t="str">
        <f t="shared" si="17"/>
        <v/>
      </c>
      <c r="IY13" s="48" t="str">
        <f t="shared" si="17"/>
        <v/>
      </c>
      <c r="IZ13" s="48" t="str">
        <f t="shared" si="17"/>
        <v/>
      </c>
      <c r="JA13" s="48" t="str">
        <f t="shared" si="17"/>
        <v/>
      </c>
      <c r="JB13" s="48" t="str">
        <f t="shared" si="17"/>
        <v/>
      </c>
      <c r="JC13" s="48">
        <f t="shared" si="17"/>
        <v>0</v>
      </c>
      <c r="JD13" s="48">
        <f t="shared" si="17"/>
        <v>0</v>
      </c>
      <c r="JE13" s="48">
        <f t="shared" si="17"/>
        <v>-146.46457765667574</v>
      </c>
      <c r="JF13" s="48">
        <f t="shared" si="17"/>
        <v>3.868837711406981</v>
      </c>
      <c r="JG13" s="48">
        <f t="shared" si="17"/>
        <v>3.8176783812566559</v>
      </c>
      <c r="JH13" s="48">
        <f t="shared" si="17"/>
        <v>5.7805480924234285</v>
      </c>
      <c r="JI13" s="48"/>
      <c r="JJ13" s="48">
        <f t="shared" si="18"/>
        <v>4.1577237162768821</v>
      </c>
      <c r="JK13" s="48">
        <f t="shared" si="18"/>
        <v>10.002138540213855</v>
      </c>
      <c r="JL13" s="48">
        <f t="shared" si="18"/>
        <v>5.8278346605991658</v>
      </c>
      <c r="JM13" s="48"/>
      <c r="JN13" s="48">
        <f t="shared" si="19"/>
        <v>5.8278346605991658</v>
      </c>
      <c r="JO13" s="47" t="str">
        <f t="shared" si="20"/>
        <v/>
      </c>
      <c r="JP13" s="48" t="str">
        <f t="shared" si="20"/>
        <v/>
      </c>
      <c r="JQ13" s="48" t="str">
        <f t="shared" si="20"/>
        <v/>
      </c>
      <c r="JR13" s="48" t="str">
        <f t="shared" si="20"/>
        <v/>
      </c>
      <c r="JS13" s="48" t="str">
        <f t="shared" si="20"/>
        <v/>
      </c>
      <c r="JT13" s="48" t="str">
        <f t="shared" si="20"/>
        <v/>
      </c>
      <c r="JU13" s="48"/>
      <c r="JV13" s="48"/>
      <c r="JW13" s="48">
        <f t="shared" ref="JW13:JZ14" si="42">IFERROR(FA13/(CY13*4),"")</f>
        <v>19.516859139996573</v>
      </c>
      <c r="JX13" s="48">
        <f t="shared" si="42"/>
        <v>5.3017176416323544</v>
      </c>
      <c r="JY13" s="48">
        <f t="shared" si="42"/>
        <v>5.2492218520577687</v>
      </c>
      <c r="JZ13" s="48">
        <f t="shared" si="42"/>
        <v>6.873472226483794</v>
      </c>
      <c r="KA13" s="48"/>
      <c r="KB13" s="48">
        <f t="shared" si="22"/>
        <v>5.5785738890802614</v>
      </c>
      <c r="KC13" s="48">
        <f t="shared" si="22"/>
        <v>8.6305567351317531</v>
      </c>
      <c r="KD13" s="48">
        <f>IFERROR(FH13/(DF13),"")</f>
        <v>7.643372228743492</v>
      </c>
      <c r="KE13" s="48"/>
      <c r="KF13" s="48">
        <f t="shared" si="23"/>
        <v>7.643372228743492</v>
      </c>
      <c r="KG13" s="49">
        <f t="shared" si="24"/>
        <v>508031</v>
      </c>
      <c r="KH13" s="50">
        <f t="shared" si="35"/>
        <v>0.71661091400574417</v>
      </c>
      <c r="KI13" s="49">
        <f t="shared" si="25"/>
        <v>36918</v>
      </c>
      <c r="KJ13" s="50">
        <f t="shared" si="36"/>
        <v>0.71631799163179921</v>
      </c>
      <c r="KK13" s="51">
        <f t="shared" si="26"/>
        <v>7.2668793833447168E-2</v>
      </c>
      <c r="KL13" s="52">
        <f t="shared" si="27"/>
        <v>504030</v>
      </c>
      <c r="KM13" s="52">
        <f t="shared" si="28"/>
        <v>36875</v>
      </c>
      <c r="KN13" s="52">
        <f t="shared" si="29"/>
        <v>21049</v>
      </c>
      <c r="KO13" s="53">
        <f t="shared" si="30"/>
        <v>1.2920096665505392</v>
      </c>
      <c r="KP13" s="54">
        <f t="shared" si="37"/>
        <v>1.2888293582209931</v>
      </c>
      <c r="KQ13" s="53">
        <f t="shared" si="31"/>
        <v>5.8278346605991658</v>
      </c>
      <c r="KR13" s="54">
        <f t="shared" si="38"/>
        <v>10.002138540213855</v>
      </c>
      <c r="KS13" s="53">
        <f t="shared" si="32"/>
        <v>7.643372228743492</v>
      </c>
      <c r="KT13" s="54">
        <f t="shared" si="39"/>
        <v>8.6305567351317531</v>
      </c>
      <c r="KU13" s="55" t="s">
        <v>65</v>
      </c>
      <c r="KV13" s="61">
        <v>2</v>
      </c>
      <c r="KW13" s="37" t="s">
        <v>66</v>
      </c>
      <c r="KY13" s="37" t="s">
        <v>131</v>
      </c>
      <c r="KZ13" s="37" t="s">
        <v>132</v>
      </c>
      <c r="LA13" s="37" t="s">
        <v>133</v>
      </c>
      <c r="LB13" s="57" t="s">
        <v>134</v>
      </c>
      <c r="LD13" s="58" t="s">
        <v>135</v>
      </c>
      <c r="LE13" s="12"/>
      <c r="LF13" s="59" t="s">
        <v>136</v>
      </c>
    </row>
    <row r="14" spans="1:318" x14ac:dyDescent="0.25">
      <c r="A14" s="36" t="s">
        <v>137</v>
      </c>
      <c r="B14" s="37" t="s">
        <v>137</v>
      </c>
      <c r="C14" s="37" t="str">
        <f>INDEX('[1]Property Summary'!AB:AB,MATCH($A14,'[1]Property Summary'!$F:$F,FALSE))</f>
        <v>POG Portfolio</v>
      </c>
      <c r="D14" s="38"/>
      <c r="H14" s="39">
        <f>R14-83130</f>
        <v>25133</v>
      </c>
      <c r="I14" s="39">
        <f>J14</f>
        <v>43967.666666666664</v>
      </c>
      <c r="J14" s="39">
        <f>K14</f>
        <v>43967.666666666664</v>
      </c>
      <c r="K14" s="39">
        <f>131903/3</f>
        <v>43967.666666666664</v>
      </c>
      <c r="L14" s="39">
        <f>S14-SUM(I14:K14)</f>
        <v>36972.483999999997</v>
      </c>
      <c r="M14" s="39">
        <v>25333.628000000001</v>
      </c>
      <c r="N14" s="39">
        <f>62450.083-M14</f>
        <v>37116.455000000002</v>
      </c>
      <c r="O14" s="39">
        <f>109177-N14-M14</f>
        <v>46726.917000000001</v>
      </c>
      <c r="P14" s="39">
        <f>157831-O14-N14-M14</f>
        <v>48654</v>
      </c>
      <c r="R14" s="39">
        <v>108263</v>
      </c>
      <c r="S14" s="39">
        <v>168875.484</v>
      </c>
      <c r="T14" s="39">
        <f>SUM(M14:P14)</f>
        <v>157831</v>
      </c>
      <c r="V14" s="40">
        <f>SUM(M14:P14)</f>
        <v>157831</v>
      </c>
      <c r="Z14" s="39">
        <f>AJ14-14931</f>
        <v>4995</v>
      </c>
      <c r="AA14" s="39">
        <f>AB14</f>
        <v>6957.666666666667</v>
      </c>
      <c r="AB14" s="39">
        <f>AC14</f>
        <v>6957.666666666667</v>
      </c>
      <c r="AC14" s="39">
        <f>20873/3</f>
        <v>6957.666666666667</v>
      </c>
      <c r="AD14" s="39">
        <f>AK14-SUM(AA14:AC14)</f>
        <v>10064.995999999999</v>
      </c>
      <c r="AE14" s="39">
        <f>4252.541+430.088</f>
        <v>4682.6289999999999</v>
      </c>
      <c r="AF14" s="39">
        <f>9209+54.5+962.6-AE14</f>
        <v>5543.4710000000005</v>
      </c>
      <c r="AG14" s="39">
        <f>15070+1033+1684-AF14-AE14</f>
        <v>7560.8999999999987</v>
      </c>
      <c r="AH14" s="39">
        <f>18842+2291+1306-AG14-AF14-AE14</f>
        <v>4652.0000000000009</v>
      </c>
      <c r="AJ14" s="39">
        <f>19926</f>
        <v>19926</v>
      </c>
      <c r="AK14" s="39">
        <f>30937.996</f>
        <v>30937.995999999999</v>
      </c>
      <c r="AL14" s="39">
        <f>SUM(AE14:AH14)</f>
        <v>22439</v>
      </c>
      <c r="AN14" s="40">
        <f>SUM(AE14:AH14)</f>
        <v>22439</v>
      </c>
      <c r="AO14" s="42" t="str">
        <f t="shared" si="0"/>
        <v/>
      </c>
      <c r="AP14" s="43" t="str">
        <f t="shared" si="0"/>
        <v/>
      </c>
      <c r="AQ14" s="43" t="str">
        <f t="shared" si="0"/>
        <v/>
      </c>
      <c r="AR14" s="43">
        <f t="shared" si="0"/>
        <v>0.19874268889507818</v>
      </c>
      <c r="AS14" s="43">
        <f t="shared" si="0"/>
        <v>0.15824507403167482</v>
      </c>
      <c r="AT14" s="43">
        <f t="shared" si="0"/>
        <v>0.15824507403167482</v>
      </c>
      <c r="AU14" s="43">
        <f t="shared" si="0"/>
        <v>0.15824507403167482</v>
      </c>
      <c r="AV14" s="43">
        <f t="shared" si="0"/>
        <v>0.27222936927905628</v>
      </c>
      <c r="AW14" s="43">
        <f t="shared" si="0"/>
        <v>0.18483846845781424</v>
      </c>
      <c r="AX14" s="43">
        <f t="shared" si="0"/>
        <v>0.14935346061470581</v>
      </c>
      <c r="AY14" s="43">
        <f t="shared" si="0"/>
        <v>0.16181037580544846</v>
      </c>
      <c r="AZ14" s="43">
        <f t="shared" si="0"/>
        <v>9.561392691248409E-2</v>
      </c>
      <c r="BA14" s="43"/>
      <c r="BB14" s="43">
        <f t="shared" si="1"/>
        <v>0.18405179978385969</v>
      </c>
      <c r="BC14" s="43">
        <f t="shared" si="1"/>
        <v>0.18320004341186669</v>
      </c>
      <c r="BD14" s="43">
        <f t="shared" si="1"/>
        <v>0.1421710563830933</v>
      </c>
      <c r="BE14" s="43"/>
      <c r="BF14" s="44">
        <f t="shared" si="2"/>
        <v>0.1421710563830933</v>
      </c>
      <c r="BJ14" s="39">
        <f>(ED14*0.1)/4</f>
        <v>1104.55</v>
      </c>
      <c r="BK14" s="39">
        <f>(EE14*0.1)/4</f>
        <v>1102.6500000000001</v>
      </c>
      <c r="BL14" s="39">
        <f>(EF14*0.1)/4</f>
        <v>1102.6500000000001</v>
      </c>
      <c r="BM14" s="39">
        <f>(EG14*0.1)/4</f>
        <v>1102.6500000000001</v>
      </c>
      <c r="BN14" s="39">
        <f>(EH14*0.1)/4</f>
        <v>862.03020000000004</v>
      </c>
      <c r="BO14" s="39">
        <v>430.08800000000002</v>
      </c>
      <c r="BP14" s="39">
        <f>962.634-BO14</f>
        <v>532.54600000000005</v>
      </c>
      <c r="BQ14" s="39">
        <f>1684-BP14-BO14</f>
        <v>721.36599999999999</v>
      </c>
      <c r="BR14" s="39">
        <f>2291-BQ14-BP14-BO14</f>
        <v>607</v>
      </c>
      <c r="BT14" s="39">
        <f>(EN14*0.1)</f>
        <v>4418.2</v>
      </c>
      <c r="BU14" s="39">
        <f>SUM(BK14:BN14)</f>
        <v>4169.9802</v>
      </c>
      <c r="BV14" s="39">
        <f>SUM(BO14:BR14)</f>
        <v>2291</v>
      </c>
      <c r="BX14" s="40">
        <f>SUM(BO14:BR14)</f>
        <v>2291</v>
      </c>
      <c r="CB14" s="39">
        <f>CL14-4239</f>
        <v>1479</v>
      </c>
      <c r="CC14" s="39">
        <f>CD14</f>
        <v>2506.6666666666665</v>
      </c>
      <c r="CD14" s="39">
        <f>CE14</f>
        <v>2506.6666666666665</v>
      </c>
      <c r="CE14" s="39">
        <f>7520/3</f>
        <v>2506.6666666666665</v>
      </c>
      <c r="CF14" s="39">
        <f>CM14-SUM(CC14:CE14)</f>
        <v>3521.5599999999995</v>
      </c>
      <c r="CG14" s="39">
        <v>3862.4949999999999</v>
      </c>
      <c r="CH14" s="39">
        <f>7459.3-CG14</f>
        <v>3596.8050000000003</v>
      </c>
      <c r="CI14" s="39">
        <f>12891-CH14-CG14</f>
        <v>5431.7</v>
      </c>
      <c r="CJ14" s="39">
        <f>19986-CI14-CH14-CG14</f>
        <v>7094.9999999999991</v>
      </c>
      <c r="CL14" s="39">
        <v>5718</v>
      </c>
      <c r="CM14" s="39">
        <v>11041.56</v>
      </c>
      <c r="CN14" s="39">
        <f>SUM(CG14:CJ14)</f>
        <v>19986</v>
      </c>
      <c r="CP14" s="40">
        <f>SUM(CG14:CJ14)</f>
        <v>19986</v>
      </c>
      <c r="CQ14" s="41" t="str">
        <f t="shared" si="3"/>
        <v/>
      </c>
      <c r="CR14" s="39" t="str">
        <f t="shared" si="3"/>
        <v/>
      </c>
      <c r="CS14" s="39" t="str">
        <f t="shared" si="3"/>
        <v/>
      </c>
      <c r="CT14" s="39">
        <f t="shared" si="3"/>
        <v>6474</v>
      </c>
      <c r="CU14" s="39">
        <f t="shared" si="3"/>
        <v>9464.3333333333339</v>
      </c>
      <c r="CV14" s="39">
        <f t="shared" si="3"/>
        <v>9464.3333333333339</v>
      </c>
      <c r="CW14" s="39">
        <f t="shared" si="3"/>
        <v>9464.3333333333339</v>
      </c>
      <c r="CX14" s="39">
        <f t="shared" si="3"/>
        <v>13586.555999999999</v>
      </c>
      <c r="CY14" s="39">
        <f t="shared" si="3"/>
        <v>8545.1239999999998</v>
      </c>
      <c r="CZ14" s="39">
        <f t="shared" si="3"/>
        <v>9140.2760000000017</v>
      </c>
      <c r="DA14" s="39">
        <f t="shared" si="3"/>
        <v>12992.599999999999</v>
      </c>
      <c r="DB14" s="39">
        <f t="shared" si="3"/>
        <v>11747</v>
      </c>
      <c r="DD14" s="39">
        <f t="shared" si="4"/>
        <v>25644</v>
      </c>
      <c r="DE14" s="39">
        <f t="shared" si="4"/>
        <v>41979.555999999997</v>
      </c>
      <c r="DF14" s="39">
        <f t="shared" si="4"/>
        <v>42425</v>
      </c>
      <c r="DH14" s="39">
        <f t="shared" si="5"/>
        <v>42425</v>
      </c>
      <c r="DL14" s="39">
        <f>DV14</f>
        <v>45744</v>
      </c>
      <c r="DM14" s="39">
        <f>CC14*8*4</f>
        <v>80213.333333333328</v>
      </c>
      <c r="DN14" s="39">
        <f>CD14*8*4</f>
        <v>80213.333333333328</v>
      </c>
      <c r="DO14" s="39">
        <f>CE14*8*4</f>
        <v>80213.333333333328</v>
      </c>
      <c r="DP14" s="39">
        <f>CF14*8*4</f>
        <v>112689.91999999998</v>
      </c>
      <c r="DQ14" s="39">
        <f>4349.067+215796.892</f>
        <v>220145.959</v>
      </c>
      <c r="DR14" s="39">
        <f>5373+239786</f>
        <v>245159</v>
      </c>
      <c r="DS14" s="39">
        <f>7804+336882</f>
        <v>344686</v>
      </c>
      <c r="DT14" s="39">
        <f>440612+9945</f>
        <v>450557</v>
      </c>
      <c r="DV14" s="39">
        <f>CL14*8</f>
        <v>45744</v>
      </c>
      <c r="DW14" s="39">
        <f>DP14</f>
        <v>112689.91999999998</v>
      </c>
      <c r="DX14" s="39">
        <f>DT14</f>
        <v>450557</v>
      </c>
      <c r="DZ14" s="40">
        <f>DT14</f>
        <v>450557</v>
      </c>
      <c r="EA14" s="45"/>
      <c r="EB14" s="46"/>
      <c r="EC14" s="46"/>
      <c r="ED14" s="46">
        <f>EN14</f>
        <v>44182</v>
      </c>
      <c r="EE14" s="46">
        <f>EF14</f>
        <v>44106</v>
      </c>
      <c r="EF14" s="46">
        <f>EG14</f>
        <v>44106</v>
      </c>
      <c r="EG14" s="46">
        <f>44106</f>
        <v>44106</v>
      </c>
      <c r="EH14" s="46">
        <f>34481.208</f>
        <v>34481.207999999999</v>
      </c>
      <c r="EI14" s="46">
        <f>2253.783+589.435+27194.38</f>
        <v>30037.598000000002</v>
      </c>
      <c r="EJ14" s="46">
        <f>2254+69+2652</f>
        <v>4975</v>
      </c>
      <c r="EK14" s="46">
        <f>756+1138+2630+37291</f>
        <v>41815</v>
      </c>
      <c r="EL14" s="46">
        <f>1737+72586+98+4153</f>
        <v>78574</v>
      </c>
      <c r="EM14" s="46"/>
      <c r="EN14" s="46">
        <f>476+43706</f>
        <v>44182</v>
      </c>
      <c r="EO14" s="46">
        <f>EH14</f>
        <v>34481.207999999999</v>
      </c>
      <c r="EP14" s="46">
        <f>EL14</f>
        <v>78574</v>
      </c>
      <c r="EQ14" s="46"/>
      <c r="ER14" s="40">
        <f>EL14</f>
        <v>78574</v>
      </c>
      <c r="ES14" s="45" t="str">
        <f t="shared" si="7"/>
        <v/>
      </c>
      <c r="ET14" s="46" t="str">
        <f t="shared" si="7"/>
        <v/>
      </c>
      <c r="EU14" s="46" t="str">
        <f t="shared" si="7"/>
        <v/>
      </c>
      <c r="EV14" s="46">
        <f>FF14</f>
        <v>89926</v>
      </c>
      <c r="EW14" s="46">
        <f t="shared" si="7"/>
        <v>124319.33333333333</v>
      </c>
      <c r="EX14" s="46">
        <f t="shared" si="7"/>
        <v>124319.33333333333</v>
      </c>
      <c r="EY14" s="46">
        <f t="shared" si="7"/>
        <v>124319.33333333333</v>
      </c>
      <c r="EZ14" s="46">
        <f t="shared" si="7"/>
        <v>147171.12799999997</v>
      </c>
      <c r="FA14" s="46">
        <f t="shared" si="41"/>
        <v>250183.557</v>
      </c>
      <c r="FB14" s="46">
        <f t="shared" si="41"/>
        <v>250134</v>
      </c>
      <c r="FC14" s="46">
        <f t="shared" si="41"/>
        <v>386501</v>
      </c>
      <c r="FD14" s="46">
        <f t="shared" si="41"/>
        <v>529131</v>
      </c>
      <c r="FE14" s="46"/>
      <c r="FF14" s="46">
        <f t="shared" si="9"/>
        <v>89926</v>
      </c>
      <c r="FG14" s="46">
        <f t="shared" si="9"/>
        <v>147171.12799999997</v>
      </c>
      <c r="FH14" s="46">
        <f t="shared" si="9"/>
        <v>529131</v>
      </c>
      <c r="FI14" s="46"/>
      <c r="FJ14" s="46">
        <f t="shared" si="10"/>
        <v>529131</v>
      </c>
      <c r="FK14" s="45"/>
      <c r="FL14" s="46"/>
      <c r="FM14" s="46"/>
      <c r="FN14" s="46">
        <v>8822</v>
      </c>
      <c r="FO14" s="46">
        <f>FP14</f>
        <v>6067</v>
      </c>
      <c r="FP14" s="46">
        <f>FQ14</f>
        <v>6067</v>
      </c>
      <c r="FQ14" s="46">
        <v>6067</v>
      </c>
      <c r="FR14" s="46">
        <v>1827.1110000000001</v>
      </c>
      <c r="FS14" s="46">
        <v>7447.5919999999996</v>
      </c>
      <c r="FT14" s="46">
        <v>8068</v>
      </c>
      <c r="FU14" s="46">
        <v>9664</v>
      </c>
      <c r="FV14" s="46">
        <v>19348</v>
      </c>
      <c r="FW14" s="46"/>
      <c r="FX14" s="46">
        <v>8822</v>
      </c>
      <c r="FY14" s="46">
        <f>FR14</f>
        <v>1827.1110000000001</v>
      </c>
      <c r="FZ14" s="46">
        <f>FV14</f>
        <v>19348</v>
      </c>
      <c r="GA14" s="46"/>
      <c r="GB14" s="40">
        <f>FV14</f>
        <v>19348</v>
      </c>
      <c r="GC14" s="45"/>
      <c r="GD14" s="46"/>
      <c r="GE14" s="46"/>
      <c r="GF14" s="46"/>
      <c r="GG14" s="46"/>
      <c r="GH14" s="46"/>
      <c r="GI14" s="46"/>
      <c r="GJ14" s="46"/>
      <c r="GK14" s="46"/>
      <c r="GL14" s="46"/>
      <c r="GM14" s="46"/>
      <c r="GN14" s="46"/>
      <c r="GO14" s="46"/>
      <c r="GP14" s="46">
        <v>11347</v>
      </c>
      <c r="GQ14" s="46">
        <v>4911.3280000000004</v>
      </c>
      <c r="GR14" s="46"/>
      <c r="GS14" s="46"/>
      <c r="GT14" s="40">
        <f>GQ14</f>
        <v>4911.3280000000004</v>
      </c>
      <c r="GU14" s="45"/>
      <c r="GV14" s="46"/>
      <c r="GW14" s="46"/>
      <c r="GX14" s="46"/>
      <c r="GY14" s="46"/>
      <c r="GZ14" s="46"/>
      <c r="HA14" s="46"/>
      <c r="HB14" s="46"/>
      <c r="HC14" s="46"/>
      <c r="HD14" s="46"/>
      <c r="HE14" s="46"/>
      <c r="HF14" s="46"/>
      <c r="HG14" s="46"/>
      <c r="HH14" s="46"/>
      <c r="HI14" s="46"/>
      <c r="HJ14" s="46"/>
      <c r="HK14" s="46"/>
      <c r="HL14" s="40">
        <f>HI14</f>
        <v>0</v>
      </c>
      <c r="HM14" s="45" t="str">
        <f t="shared" si="11"/>
        <v/>
      </c>
      <c r="HN14" s="46" t="str">
        <f t="shared" si="11"/>
        <v/>
      </c>
      <c r="HO14" s="46" t="str">
        <f t="shared" si="11"/>
        <v/>
      </c>
      <c r="HP14" s="46" t="str">
        <f t="shared" si="11"/>
        <v/>
      </c>
      <c r="HQ14" s="46" t="str">
        <f t="shared" si="11"/>
        <v/>
      </c>
      <c r="HR14" s="46" t="str">
        <f t="shared" si="11"/>
        <v/>
      </c>
      <c r="HS14" s="46" t="str">
        <f t="shared" si="11"/>
        <v/>
      </c>
      <c r="HT14" s="46" t="str">
        <f t="shared" si="11"/>
        <v/>
      </c>
      <c r="HU14" s="46"/>
      <c r="HV14" s="46"/>
      <c r="HW14" s="46"/>
      <c r="HX14" s="46"/>
      <c r="HY14" s="46"/>
      <c r="HZ14" s="46">
        <f t="shared" si="12"/>
        <v>11347</v>
      </c>
      <c r="IA14" s="46">
        <f t="shared" si="12"/>
        <v>4911.3280000000004</v>
      </c>
      <c r="IB14" s="46" t="str">
        <f t="shared" si="12"/>
        <v/>
      </c>
      <c r="IC14" s="46"/>
      <c r="ID14" s="46">
        <f t="shared" si="13"/>
        <v>4911.3280000000004</v>
      </c>
      <c r="IE14" s="47" t="str">
        <f t="shared" si="14"/>
        <v/>
      </c>
      <c r="IF14" s="48" t="str">
        <f t="shared" si="14"/>
        <v/>
      </c>
      <c r="IG14" s="48" t="str">
        <f t="shared" si="14"/>
        <v/>
      </c>
      <c r="IH14" s="48">
        <f t="shared" si="14"/>
        <v>2.50585434769987</v>
      </c>
      <c r="II14" s="48">
        <f t="shared" si="14"/>
        <v>2.6221953370674966</v>
      </c>
      <c r="IJ14" s="48">
        <f t="shared" si="14"/>
        <v>2.6221953370674966</v>
      </c>
      <c r="IK14" s="48">
        <f t="shared" si="14"/>
        <v>2.6221953370674966</v>
      </c>
      <c r="IL14" s="48">
        <f t="shared" si="14"/>
        <v>3.0994128967621104</v>
      </c>
      <c r="IM14" s="48">
        <f t="shared" si="14"/>
        <v>1.9906718169456481</v>
      </c>
      <c r="IN14" s="48">
        <f t="shared" si="14"/>
        <v>2.2134897227191392</v>
      </c>
      <c r="IO14" s="48">
        <f t="shared" si="14"/>
        <v>2.1115651936774285</v>
      </c>
      <c r="IP14" s="48">
        <f t="shared" si="14"/>
        <v>1.5251882627888862</v>
      </c>
      <c r="IQ14" s="48"/>
      <c r="IR14" s="48">
        <f t="shared" si="15"/>
        <v>2.5299421874075096</v>
      </c>
      <c r="IS14" s="48">
        <f t="shared" si="15"/>
        <v>2.7597176517339119</v>
      </c>
      <c r="IT14" s="48">
        <f t="shared" si="15"/>
        <v>1.9044305786236926</v>
      </c>
      <c r="IU14" s="48"/>
      <c r="IV14" s="48">
        <f t="shared" si="16"/>
        <v>1.9044305786236926</v>
      </c>
      <c r="IW14" s="47" t="str">
        <f t="shared" si="17"/>
        <v/>
      </c>
      <c r="IX14" s="48" t="str">
        <f t="shared" si="17"/>
        <v/>
      </c>
      <c r="IY14" s="48" t="str">
        <f t="shared" si="17"/>
        <v/>
      </c>
      <c r="IZ14" s="48">
        <f t="shared" si="17"/>
        <v>2.2113113113113112</v>
      </c>
      <c r="JA14" s="48">
        <f t="shared" si="17"/>
        <v>1.584798543573037</v>
      </c>
      <c r="JB14" s="48">
        <f t="shared" si="17"/>
        <v>1.584798543573037</v>
      </c>
      <c r="JC14" s="48">
        <f t="shared" si="17"/>
        <v>1.584798543573037</v>
      </c>
      <c r="JD14" s="48">
        <f t="shared" si="17"/>
        <v>0.85646352964273409</v>
      </c>
      <c r="JE14" s="48">
        <f t="shared" si="17"/>
        <v>1.6036716767439831</v>
      </c>
      <c r="JF14" s="48">
        <f t="shared" si="17"/>
        <v>0.2243630389696275</v>
      </c>
      <c r="JG14" s="48">
        <f t="shared" si="17"/>
        <v>1.3826065680011641</v>
      </c>
      <c r="JH14" s="48">
        <f t="shared" si="17"/>
        <v>4.222592433361994</v>
      </c>
      <c r="JI14" s="48"/>
      <c r="JJ14" s="48">
        <f t="shared" si="18"/>
        <v>2.2173040248921008</v>
      </c>
      <c r="JK14" s="48">
        <f t="shared" si="18"/>
        <v>1.1145262285249504</v>
      </c>
      <c r="JL14" s="48">
        <f t="shared" si="18"/>
        <v>3.5016711974686929</v>
      </c>
      <c r="JM14" s="48"/>
      <c r="JN14" s="48">
        <f t="shared" si="19"/>
        <v>3.5016711974686929</v>
      </c>
      <c r="JO14" s="47" t="str">
        <f t="shared" si="20"/>
        <v/>
      </c>
      <c r="JP14" s="48" t="str">
        <f t="shared" si="20"/>
        <v/>
      </c>
      <c r="JQ14" s="48" t="str">
        <f t="shared" si="20"/>
        <v/>
      </c>
      <c r="JR14" s="48">
        <f t="shared" si="20"/>
        <v>3.4725826382452887</v>
      </c>
      <c r="JS14" s="48">
        <f t="shared" si="20"/>
        <v>3.283890395520022</v>
      </c>
      <c r="JT14" s="48">
        <f t="shared" si="20"/>
        <v>3.283890395520022</v>
      </c>
      <c r="JU14" s="48">
        <f t="shared" si="20"/>
        <v>3.283890395520022</v>
      </c>
      <c r="JV14" s="48">
        <f t="shared" si="20"/>
        <v>2.708028583549797</v>
      </c>
      <c r="JW14" s="48">
        <f t="shared" si="42"/>
        <v>7.3194829296801309</v>
      </c>
      <c r="JX14" s="48">
        <f t="shared" si="42"/>
        <v>6.8415330127886715</v>
      </c>
      <c r="JY14" s="48">
        <f t="shared" si="42"/>
        <v>7.4369448763142101</v>
      </c>
      <c r="JZ14" s="48">
        <f t="shared" si="42"/>
        <v>11.260981527198433</v>
      </c>
      <c r="KA14" s="48"/>
      <c r="KB14" s="48">
        <f t="shared" si="22"/>
        <v>3.5067072219622526</v>
      </c>
      <c r="KC14" s="48">
        <f t="shared" si="22"/>
        <v>3.5057809568066891</v>
      </c>
      <c r="KD14" s="48">
        <f>IFERROR(FH14/(DF14),"")</f>
        <v>12.472150854449028</v>
      </c>
      <c r="KE14" s="48"/>
      <c r="KF14" s="48">
        <f t="shared" si="23"/>
        <v>12.472150854449028</v>
      </c>
      <c r="KG14" s="49">
        <f t="shared" si="24"/>
        <v>157831</v>
      </c>
      <c r="KH14" s="50">
        <f t="shared" si="35"/>
        <v>-6.540016193232645E-2</v>
      </c>
      <c r="KI14" s="49">
        <f t="shared" si="25"/>
        <v>22439</v>
      </c>
      <c r="KJ14" s="50">
        <f t="shared" si="36"/>
        <v>-0.2747106179727995</v>
      </c>
      <c r="KK14" s="51">
        <f t="shared" si="26"/>
        <v>0.1421710563830933</v>
      </c>
      <c r="KL14" s="52">
        <f t="shared" si="27"/>
        <v>529131</v>
      </c>
      <c r="KM14" s="52">
        <f t="shared" si="28"/>
        <v>19348</v>
      </c>
      <c r="KN14" s="52">
        <f t="shared" si="29"/>
        <v>4911.3280000000004</v>
      </c>
      <c r="KO14" s="53">
        <f t="shared" si="30"/>
        <v>1.9044305786236926</v>
      </c>
      <c r="KP14" s="54">
        <f t="shared" si="37"/>
        <v>2.7597176517339119</v>
      </c>
      <c r="KQ14" s="53">
        <f t="shared" si="31"/>
        <v>3.5016711974686929</v>
      </c>
      <c r="KR14" s="54">
        <f t="shared" si="38"/>
        <v>1.1145262285249504</v>
      </c>
      <c r="KS14" s="53">
        <f t="shared" si="32"/>
        <v>12.472150854449028</v>
      </c>
      <c r="KT14" s="54">
        <f t="shared" si="39"/>
        <v>3.5057809568066891</v>
      </c>
      <c r="KU14" s="55" t="s">
        <v>65</v>
      </c>
      <c r="KV14" s="61">
        <v>2</v>
      </c>
      <c r="KW14" s="37" t="s">
        <v>66</v>
      </c>
      <c r="KY14" s="37" t="s">
        <v>138</v>
      </c>
      <c r="KZ14" s="37" t="s">
        <v>139</v>
      </c>
      <c r="LA14" s="37" t="s">
        <v>140</v>
      </c>
      <c r="LB14" s="57" t="s">
        <v>141</v>
      </c>
      <c r="LD14" s="58"/>
      <c r="LE14" s="12" t="s">
        <v>142</v>
      </c>
      <c r="LF14" s="59" t="s">
        <v>143</v>
      </c>
    </row>
    <row r="15" spans="1:318" x14ac:dyDescent="0.25">
      <c r="A15" s="36" t="s">
        <v>144</v>
      </c>
      <c r="B15" s="37" t="s">
        <v>145</v>
      </c>
      <c r="C15" s="37" t="str">
        <f>INDEX('[1]Property Summary'!AB:AB,MATCH($A15,'[1]Property Summary'!$F:$F,FALSE))</f>
        <v>PC Slices</v>
      </c>
      <c r="D15" s="38"/>
      <c r="R15" s="39">
        <v>47151.396000000001</v>
      </c>
      <c r="S15" s="39">
        <v>37158</v>
      </c>
      <c r="T15" s="39">
        <v>38850</v>
      </c>
      <c r="V15" s="40">
        <f>T15</f>
        <v>38850</v>
      </c>
      <c r="AJ15" s="39">
        <v>5844.058</v>
      </c>
      <c r="AK15" s="39">
        <v>4110</v>
      </c>
      <c r="AL15" s="39">
        <v>3528</v>
      </c>
      <c r="AN15" s="40">
        <f>AL15</f>
        <v>3528</v>
      </c>
      <c r="AO15" s="42" t="str">
        <f t="shared" si="0"/>
        <v/>
      </c>
      <c r="AP15" s="43" t="str">
        <f t="shared" si="0"/>
        <v/>
      </c>
      <c r="AQ15" s="43" t="str">
        <f t="shared" si="0"/>
        <v/>
      </c>
      <c r="AR15" s="43" t="str">
        <f t="shared" si="0"/>
        <v/>
      </c>
      <c r="AS15" s="43" t="str">
        <f t="shared" si="0"/>
        <v/>
      </c>
      <c r="AT15" s="43" t="str">
        <f t="shared" si="0"/>
        <v/>
      </c>
      <c r="AU15" s="43" t="str">
        <f t="shared" si="0"/>
        <v/>
      </c>
      <c r="AV15" s="43" t="str">
        <f t="shared" si="0"/>
        <v/>
      </c>
      <c r="AW15" s="43"/>
      <c r="AX15" s="43"/>
      <c r="AY15" s="43"/>
      <c r="AZ15" s="43"/>
      <c r="BA15" s="43"/>
      <c r="BB15" s="43">
        <f t="shared" si="1"/>
        <v>0.12394241731464324</v>
      </c>
      <c r="BC15" s="43">
        <f t="shared" si="1"/>
        <v>0.1106087518165671</v>
      </c>
      <c r="BD15" s="43">
        <f t="shared" si="1"/>
        <v>9.0810810810810813E-2</v>
      </c>
      <c r="BE15" s="43"/>
      <c r="BF15" s="44">
        <f t="shared" si="2"/>
        <v>9.0810810810810813E-2</v>
      </c>
      <c r="BT15" s="39">
        <v>343.34300000000002</v>
      </c>
      <c r="BU15" s="39">
        <v>267</v>
      </c>
      <c r="BV15" s="39">
        <v>229</v>
      </c>
      <c r="BX15" s="40">
        <f>BV15</f>
        <v>229</v>
      </c>
      <c r="CL15" s="39">
        <v>1497.6610000000001</v>
      </c>
      <c r="CM15" s="39">
        <v>1207</v>
      </c>
      <c r="CN15" s="39">
        <v>1303</v>
      </c>
      <c r="CP15" s="40">
        <f>CN15</f>
        <v>1303</v>
      </c>
      <c r="CQ15" s="41" t="str">
        <f t="shared" si="3"/>
        <v/>
      </c>
      <c r="CR15" s="39" t="str">
        <f t="shared" si="3"/>
        <v/>
      </c>
      <c r="CS15" s="39" t="str">
        <f t="shared" si="3"/>
        <v/>
      </c>
      <c r="CT15" s="39" t="str">
        <f t="shared" si="3"/>
        <v/>
      </c>
      <c r="CU15" s="39" t="str">
        <f t="shared" si="3"/>
        <v/>
      </c>
      <c r="CV15" s="39" t="str">
        <f t="shared" si="3"/>
        <v/>
      </c>
      <c r="CW15" s="39" t="str">
        <f t="shared" si="3"/>
        <v/>
      </c>
      <c r="CX15" s="39" t="str">
        <f t="shared" si="3"/>
        <v/>
      </c>
      <c r="DD15" s="39">
        <f t="shared" si="4"/>
        <v>7341.7190000000001</v>
      </c>
      <c r="DE15" s="39">
        <f t="shared" si="4"/>
        <v>5317</v>
      </c>
      <c r="DF15" s="39">
        <f t="shared" si="4"/>
        <v>4831</v>
      </c>
      <c r="DH15" s="39">
        <f t="shared" si="5"/>
        <v>4831</v>
      </c>
      <c r="DX15" s="39">
        <f>8*CN15</f>
        <v>10424</v>
      </c>
      <c r="DZ15" s="40">
        <f>DX15</f>
        <v>10424</v>
      </c>
      <c r="EA15" s="45"/>
      <c r="EB15" s="46"/>
      <c r="EC15" s="46"/>
      <c r="ED15" s="46"/>
      <c r="EE15" s="46"/>
      <c r="EF15" s="46"/>
      <c r="EG15" s="46"/>
      <c r="EH15" s="46"/>
      <c r="EI15" s="46"/>
      <c r="EJ15" s="46"/>
      <c r="EK15" s="46"/>
      <c r="EL15" s="46"/>
      <c r="EM15" s="46"/>
      <c r="EN15" s="46"/>
      <c r="EO15" s="46"/>
      <c r="EP15" s="46">
        <f>850+1654.5</f>
        <v>2504.5</v>
      </c>
      <c r="EQ15" s="46"/>
      <c r="ER15" s="40">
        <f>EP15</f>
        <v>2504.5</v>
      </c>
      <c r="ES15" s="45" t="str">
        <f t="shared" si="7"/>
        <v/>
      </c>
      <c r="ET15" s="46" t="str">
        <f t="shared" si="7"/>
        <v/>
      </c>
      <c r="EU15" s="46" t="str">
        <f t="shared" si="7"/>
        <v/>
      </c>
      <c r="EV15" s="46" t="str">
        <f t="shared" si="7"/>
        <v/>
      </c>
      <c r="EW15" s="46" t="str">
        <f t="shared" si="7"/>
        <v/>
      </c>
      <c r="EX15" s="46" t="str">
        <f t="shared" si="7"/>
        <v/>
      </c>
      <c r="EY15" s="46" t="str">
        <f t="shared" si="7"/>
        <v/>
      </c>
      <c r="EZ15" s="46" t="str">
        <f t="shared" si="7"/>
        <v/>
      </c>
      <c r="FA15" s="46"/>
      <c r="FB15" s="46"/>
      <c r="FC15" s="46"/>
      <c r="FD15" s="46"/>
      <c r="FE15" s="46"/>
      <c r="FF15" s="46" t="str">
        <f t="shared" si="9"/>
        <v/>
      </c>
      <c r="FG15" s="46" t="str">
        <f t="shared" si="9"/>
        <v/>
      </c>
      <c r="FH15" s="46">
        <f t="shared" si="9"/>
        <v>12928.5</v>
      </c>
      <c r="FI15" s="46"/>
      <c r="FJ15" s="46">
        <f t="shared" si="10"/>
        <v>12928.5</v>
      </c>
      <c r="FK15" s="45"/>
      <c r="FL15" s="46"/>
      <c r="FM15" s="46"/>
      <c r="FN15" s="46"/>
      <c r="FO15" s="46"/>
      <c r="FP15" s="46"/>
      <c r="FQ15" s="46"/>
      <c r="FR15" s="46"/>
      <c r="FS15" s="46"/>
      <c r="FT15" s="46"/>
      <c r="FU15" s="46"/>
      <c r="FV15" s="46"/>
      <c r="FW15" s="46"/>
      <c r="FX15" s="46"/>
      <c r="FY15" s="46"/>
      <c r="FZ15" s="46">
        <v>2056</v>
      </c>
      <c r="GA15" s="46"/>
      <c r="GB15" s="40">
        <f>FZ15</f>
        <v>2056</v>
      </c>
      <c r="GC15" s="45"/>
      <c r="GD15" s="46"/>
      <c r="GE15" s="46"/>
      <c r="GF15" s="46"/>
      <c r="GG15" s="46"/>
      <c r="GH15" s="46"/>
      <c r="GI15" s="46"/>
      <c r="GJ15" s="46"/>
      <c r="GK15" s="46"/>
      <c r="GL15" s="46"/>
      <c r="GM15" s="46"/>
      <c r="GN15" s="46"/>
      <c r="GO15" s="46"/>
      <c r="GP15" s="46"/>
      <c r="GQ15" s="46"/>
      <c r="GR15" s="46">
        <v>3228</v>
      </c>
      <c r="GS15" s="46"/>
      <c r="GT15" s="40">
        <f>GR15</f>
        <v>3228</v>
      </c>
      <c r="GU15" s="45"/>
      <c r="GV15" s="46"/>
      <c r="GW15" s="46"/>
      <c r="GX15" s="46"/>
      <c r="GY15" s="46"/>
      <c r="GZ15" s="46"/>
      <c r="HA15" s="46"/>
      <c r="HB15" s="46"/>
      <c r="HC15" s="46"/>
      <c r="HD15" s="46"/>
      <c r="HE15" s="46"/>
      <c r="HF15" s="46"/>
      <c r="HG15" s="46"/>
      <c r="HH15" s="46"/>
      <c r="HI15" s="46"/>
      <c r="HJ15" s="46">
        <f>690</f>
        <v>690</v>
      </c>
      <c r="HK15" s="46"/>
      <c r="HL15" s="40">
        <f>HJ15</f>
        <v>690</v>
      </c>
      <c r="HM15" s="45" t="str">
        <f t="shared" si="11"/>
        <v/>
      </c>
      <c r="HN15" s="46" t="str">
        <f t="shared" si="11"/>
        <v/>
      </c>
      <c r="HO15" s="46" t="str">
        <f t="shared" si="11"/>
        <v/>
      </c>
      <c r="HP15" s="46" t="str">
        <f t="shared" si="11"/>
        <v/>
      </c>
      <c r="HQ15" s="46" t="str">
        <f t="shared" si="11"/>
        <v/>
      </c>
      <c r="HR15" s="46" t="str">
        <f t="shared" si="11"/>
        <v/>
      </c>
      <c r="HS15" s="46" t="str">
        <f t="shared" si="11"/>
        <v/>
      </c>
      <c r="HT15" s="46" t="str">
        <f t="shared" si="11"/>
        <v/>
      </c>
      <c r="HU15" s="46"/>
      <c r="HV15" s="46"/>
      <c r="HW15" s="46"/>
      <c r="HX15" s="46"/>
      <c r="HY15" s="46"/>
      <c r="HZ15" s="46" t="str">
        <f t="shared" si="12"/>
        <v/>
      </c>
      <c r="IA15" s="46" t="str">
        <f t="shared" si="12"/>
        <v/>
      </c>
      <c r="IB15" s="46">
        <f t="shared" si="12"/>
        <v>2538</v>
      </c>
      <c r="IC15" s="46"/>
      <c r="ID15" s="46">
        <f t="shared" si="13"/>
        <v>2538</v>
      </c>
      <c r="IE15" s="47" t="str">
        <f t="shared" si="14"/>
        <v/>
      </c>
      <c r="IF15" s="48" t="str">
        <f t="shared" si="14"/>
        <v/>
      </c>
      <c r="IG15" s="48" t="str">
        <f t="shared" si="14"/>
        <v/>
      </c>
      <c r="IH15" s="48" t="str">
        <f t="shared" si="14"/>
        <v/>
      </c>
      <c r="II15" s="48" t="str">
        <f t="shared" si="14"/>
        <v/>
      </c>
      <c r="IJ15" s="48" t="str">
        <f t="shared" si="14"/>
        <v/>
      </c>
      <c r="IK15" s="48" t="str">
        <f t="shared" si="14"/>
        <v/>
      </c>
      <c r="IL15" s="48" t="str">
        <f t="shared" si="14"/>
        <v/>
      </c>
      <c r="IM15" s="48"/>
      <c r="IN15" s="48"/>
      <c r="IO15" s="48"/>
      <c r="IP15" s="48"/>
      <c r="IQ15" s="48"/>
      <c r="IR15" s="48">
        <f t="shared" si="15"/>
        <v>3.9878886737888672</v>
      </c>
      <c r="IS15" s="48">
        <f t="shared" si="15"/>
        <v>3.6071913161465399</v>
      </c>
      <c r="IT15" s="48">
        <f t="shared" si="15"/>
        <v>3.1533942558746735</v>
      </c>
      <c r="IU15" s="48"/>
      <c r="IV15" s="48">
        <f t="shared" si="16"/>
        <v>3.1533942558746735</v>
      </c>
      <c r="IW15" s="47" t="str">
        <f t="shared" si="17"/>
        <v/>
      </c>
      <c r="IX15" s="48" t="str">
        <f t="shared" si="17"/>
        <v/>
      </c>
      <c r="IY15" s="48" t="str">
        <f t="shared" si="17"/>
        <v/>
      </c>
      <c r="IZ15" s="48" t="str">
        <f t="shared" si="17"/>
        <v/>
      </c>
      <c r="JA15" s="48" t="str">
        <f t="shared" si="17"/>
        <v/>
      </c>
      <c r="JB15" s="48" t="str">
        <f t="shared" si="17"/>
        <v/>
      </c>
      <c r="JC15" s="48" t="str">
        <f t="shared" si="17"/>
        <v/>
      </c>
      <c r="JD15" s="48" t="str">
        <f t="shared" si="17"/>
        <v/>
      </c>
      <c r="JE15" s="48" t="str">
        <f t="shared" si="17"/>
        <v/>
      </c>
      <c r="JF15" s="48" t="str">
        <f t="shared" si="17"/>
        <v/>
      </c>
      <c r="JG15" s="48" t="str">
        <f t="shared" si="17"/>
        <v/>
      </c>
      <c r="JH15" s="48" t="str">
        <f t="shared" si="17"/>
        <v/>
      </c>
      <c r="JI15" s="48"/>
      <c r="JJ15" s="48">
        <f t="shared" si="18"/>
        <v>0</v>
      </c>
      <c r="JK15" s="48">
        <f t="shared" si="18"/>
        <v>0</v>
      </c>
      <c r="JL15" s="48">
        <f t="shared" si="18"/>
        <v>0.70989229024943312</v>
      </c>
      <c r="JM15" s="48"/>
      <c r="JN15" s="48">
        <f t="shared" si="19"/>
        <v>0.70989229024943312</v>
      </c>
      <c r="JO15" s="47" t="str">
        <f t="shared" si="20"/>
        <v/>
      </c>
      <c r="JP15" s="48" t="str">
        <f t="shared" si="20"/>
        <v/>
      </c>
      <c r="JQ15" s="48" t="str">
        <f t="shared" si="20"/>
        <v/>
      </c>
      <c r="JR15" s="48" t="str">
        <f t="shared" si="20"/>
        <v/>
      </c>
      <c r="JS15" s="48" t="str">
        <f t="shared" si="20"/>
        <v/>
      </c>
      <c r="JT15" s="48" t="str">
        <f t="shared" si="20"/>
        <v/>
      </c>
      <c r="JU15" s="48" t="str">
        <f t="shared" si="20"/>
        <v/>
      </c>
      <c r="JV15" s="48" t="str">
        <f t="shared" si="20"/>
        <v/>
      </c>
      <c r="JW15" s="48"/>
      <c r="JX15" s="48"/>
      <c r="JY15" s="48"/>
      <c r="JZ15" s="48"/>
      <c r="KA15" s="48"/>
      <c r="KB15" s="48" t="str">
        <f t="shared" si="22"/>
        <v/>
      </c>
      <c r="KC15" s="48" t="str">
        <f t="shared" si="22"/>
        <v/>
      </c>
      <c r="KD15" s="48">
        <f>IFERROR(FH15/(DF15),"")</f>
        <v>2.6761540053819086</v>
      </c>
      <c r="KE15" s="48"/>
      <c r="KF15" s="48">
        <f t="shared" si="23"/>
        <v>2.6761540053819086</v>
      </c>
      <c r="KG15" s="49">
        <f t="shared" si="24"/>
        <v>38850</v>
      </c>
      <c r="KH15" s="50">
        <f t="shared" si="35"/>
        <v>4.5535281769740088E-2</v>
      </c>
      <c r="KI15" s="49">
        <f t="shared" si="25"/>
        <v>3528</v>
      </c>
      <c r="KJ15" s="50">
        <f t="shared" si="36"/>
        <v>-0.14160583941605842</v>
      </c>
      <c r="KK15" s="51">
        <f t="shared" si="26"/>
        <v>9.0810810810810813E-2</v>
      </c>
      <c r="KL15" s="52">
        <f t="shared" si="27"/>
        <v>12928.5</v>
      </c>
      <c r="KM15" s="52">
        <f t="shared" si="28"/>
        <v>2056</v>
      </c>
      <c r="KN15" s="52">
        <f t="shared" si="29"/>
        <v>3228</v>
      </c>
      <c r="KO15" s="53">
        <f t="shared" si="30"/>
        <v>3.1533942558746735</v>
      </c>
      <c r="KP15" s="54">
        <f t="shared" si="37"/>
        <v>3.6071913161465399</v>
      </c>
      <c r="KQ15" s="53">
        <f t="shared" si="31"/>
        <v>0.70989229024943312</v>
      </c>
      <c r="KR15" s="54">
        <f t="shared" si="38"/>
        <v>0</v>
      </c>
      <c r="KS15" s="53">
        <f t="shared" si="32"/>
        <v>2.6761540053819086</v>
      </c>
      <c r="KT15" s="54" t="str">
        <f t="shared" si="39"/>
        <v/>
      </c>
      <c r="KU15" s="55" t="s">
        <v>65</v>
      </c>
      <c r="KV15" s="61">
        <v>2</v>
      </c>
      <c r="KW15" s="37" t="s">
        <v>66</v>
      </c>
      <c r="KY15" s="37" t="s">
        <v>146</v>
      </c>
      <c r="KZ15" s="37" t="s">
        <v>147</v>
      </c>
      <c r="LA15" s="37" t="s">
        <v>148</v>
      </c>
      <c r="LB15" s="57" t="s">
        <v>149</v>
      </c>
      <c r="LD15" s="58"/>
      <c r="LE15" s="12"/>
      <c r="LF15" s="59" t="s">
        <v>150</v>
      </c>
    </row>
    <row r="16" spans="1:318" x14ac:dyDescent="0.25">
      <c r="A16" s="36" t="s">
        <v>151</v>
      </c>
      <c r="B16" s="37" t="s">
        <v>152</v>
      </c>
      <c r="C16" s="37" t="str">
        <f>INDEX('[1]Property Summary'!AB:AB,MATCH($A16,'[1]Property Summary'!$F:$F,FALSE))</f>
        <v>QP Portfolio</v>
      </c>
      <c r="D16" s="38"/>
      <c r="E16" s="39">
        <v>2088496</v>
      </c>
      <c r="F16" s="39">
        <v>2469141</v>
      </c>
      <c r="G16" s="39">
        <v>2622054</v>
      </c>
      <c r="H16" s="39">
        <v>2233160</v>
      </c>
      <c r="I16" s="39">
        <v>2072454</v>
      </c>
      <c r="J16" s="39">
        <v>2388163</v>
      </c>
      <c r="K16" s="39">
        <v>2279236</v>
      </c>
      <c r="L16" s="39">
        <f>S16-SUM(I16:K16)</f>
        <v>1992109</v>
      </c>
      <c r="M16" s="39">
        <v>1828905</v>
      </c>
      <c r="N16" s="39">
        <f>3828424-M16</f>
        <v>1999519</v>
      </c>
      <c r="O16" s="39">
        <v>2020833</v>
      </c>
      <c r="P16" s="39">
        <f>T16-SUM(M16:O16)</f>
        <v>1794214</v>
      </c>
      <c r="R16" s="39">
        <f>SUM(E16:H16)</f>
        <v>9412851</v>
      </c>
      <c r="S16" s="39">
        <v>8731962</v>
      </c>
      <c r="T16" s="39">
        <v>7643471</v>
      </c>
      <c r="V16" s="40">
        <f>SUM(M16:P16)</f>
        <v>7643471</v>
      </c>
      <c r="W16" s="41">
        <v>47484</v>
      </c>
      <c r="X16" s="39">
        <v>82482</v>
      </c>
      <c r="Y16" s="39">
        <v>87303</v>
      </c>
      <c r="Z16" s="39">
        <v>65539</v>
      </c>
      <c r="AA16" s="39">
        <v>36649</v>
      </c>
      <c r="AB16" s="39">
        <v>80070</v>
      </c>
      <c r="AC16" s="39">
        <v>78777</v>
      </c>
      <c r="AD16" s="39">
        <f>AK16-SUM(AA16:AC16)</f>
        <v>39247</v>
      </c>
      <c r="AE16" s="39">
        <f>-10318+34885</f>
        <v>24567</v>
      </c>
      <c r="AF16" s="39">
        <f>48652+68486-AE16</f>
        <v>92571</v>
      </c>
      <c r="AG16" s="39">
        <v>75161</v>
      </c>
      <c r="AH16" s="39">
        <f>AL16-SUM(AE16:AG16)</f>
        <v>53929</v>
      </c>
      <c r="AJ16" s="39">
        <f>SUM(W16:Z16)</f>
        <v>282808</v>
      </c>
      <c r="AK16" s="39">
        <f>102400+132343</f>
        <v>234743</v>
      </c>
      <c r="AL16" s="39">
        <f>111784+134444</f>
        <v>246228</v>
      </c>
      <c r="AN16" s="40">
        <f>SUM(AE16:AH16)</f>
        <v>246228</v>
      </c>
      <c r="AO16" s="42">
        <f t="shared" si="0"/>
        <v>2.273597842658066E-2</v>
      </c>
      <c r="AP16" s="43">
        <f t="shared" si="0"/>
        <v>3.3405139682180972E-2</v>
      </c>
      <c r="AQ16" s="43">
        <f t="shared" si="0"/>
        <v>3.3295652949939247E-2</v>
      </c>
      <c r="AR16" s="43">
        <f t="shared" si="0"/>
        <v>2.9348098658403338E-2</v>
      </c>
      <c r="AS16" s="43">
        <f t="shared" si="0"/>
        <v>1.7683866565916542E-2</v>
      </c>
      <c r="AT16" s="43">
        <f t="shared" si="0"/>
        <v>3.3527862210410264E-2</v>
      </c>
      <c r="AU16" s="43">
        <f t="shared" si="0"/>
        <v>3.4562897391933085E-2</v>
      </c>
      <c r="AV16" s="43">
        <f t="shared" si="0"/>
        <v>1.97012312077301E-2</v>
      </c>
      <c r="AW16" s="43">
        <f t="shared" si="0"/>
        <v>1.3432627719865165E-2</v>
      </c>
      <c r="AX16" s="43">
        <f t="shared" si="0"/>
        <v>4.6296634340558904E-2</v>
      </c>
      <c r="AY16" s="43">
        <f t="shared" si="0"/>
        <v>3.7193078299889201E-2</v>
      </c>
      <c r="AZ16" s="43">
        <f t="shared" si="0"/>
        <v>3.0057172667251511E-2</v>
      </c>
      <c r="BA16" s="43"/>
      <c r="BB16" s="43">
        <f t="shared" si="1"/>
        <v>3.0044882257245973E-2</v>
      </c>
      <c r="BC16" s="43">
        <f t="shared" si="1"/>
        <v>2.6883190742240975E-2</v>
      </c>
      <c r="BD16" s="43">
        <f t="shared" si="1"/>
        <v>3.2214160294452614E-2</v>
      </c>
      <c r="BE16" s="43"/>
      <c r="BF16" s="44">
        <f t="shared" si="2"/>
        <v>3.2214160294452614E-2</v>
      </c>
      <c r="BG16" s="41">
        <v>7210</v>
      </c>
      <c r="BH16" s="39">
        <v>22588</v>
      </c>
      <c r="BI16" s="39">
        <v>23950</v>
      </c>
      <c r="BJ16" s="39">
        <v>25099</v>
      </c>
      <c r="BK16" s="39">
        <v>22014</v>
      </c>
      <c r="BL16" s="39">
        <v>24751</v>
      </c>
      <c r="BM16" s="39">
        <v>26759</v>
      </c>
      <c r="BN16" s="39">
        <f>BU16-SUM(BK16:BM16)</f>
        <v>23368</v>
      </c>
      <c r="BO16" s="39">
        <v>19594</v>
      </c>
      <c r="BP16" s="39">
        <f>44628-BO16</f>
        <v>25034</v>
      </c>
      <c r="BQ16" s="39">
        <v>23485</v>
      </c>
      <c r="BR16" s="39">
        <f>BV16-SUM(BO16:BQ16)</f>
        <v>18310</v>
      </c>
      <c r="BT16" s="39">
        <f>SUM(BG16:BJ16)</f>
        <v>78847</v>
      </c>
      <c r="BU16" s="39">
        <v>96892</v>
      </c>
      <c r="BV16" s="39">
        <v>86423</v>
      </c>
      <c r="BX16" s="40">
        <f>SUM(BO16:BR16)</f>
        <v>86423</v>
      </c>
      <c r="BY16" s="41">
        <f>41584+534+690</f>
        <v>42808</v>
      </c>
      <c r="BZ16" s="39">
        <f>45752+587+711</f>
        <v>47050</v>
      </c>
      <c r="CA16" s="39">
        <f>46939+553+556</f>
        <v>48048</v>
      </c>
      <c r="CB16" s="39">
        <f>CL16-SUM(BY16:CA16)</f>
        <v>48145</v>
      </c>
      <c r="CC16" s="39">
        <f>46675+538+628</f>
        <v>47841</v>
      </c>
      <c r="CD16" s="39">
        <f>47844+530+502</f>
        <v>48876</v>
      </c>
      <c r="CE16" s="39">
        <f>48105+525+611</f>
        <v>49241</v>
      </c>
      <c r="CF16" s="39">
        <f>CM16-SUM(CC16:CE16)</f>
        <v>48831</v>
      </c>
      <c r="CG16" s="39">
        <f>96096-CH16</f>
        <v>47777</v>
      </c>
      <c r="CH16" s="39">
        <v>48319</v>
      </c>
      <c r="CI16" s="67">
        <f>48494+434+479</f>
        <v>49407</v>
      </c>
      <c r="CJ16" s="67">
        <f>CN16-SUM(CG16:CI16)</f>
        <v>51359</v>
      </c>
      <c r="CK16" s="67"/>
      <c r="CL16" s="39">
        <f>181164+2206+2681</f>
        <v>186051</v>
      </c>
      <c r="CM16" s="39">
        <f>190621+2077+2091</f>
        <v>194789</v>
      </c>
      <c r="CN16" s="39">
        <f>192929+1888+2045</f>
        <v>196862</v>
      </c>
      <c r="CP16" s="40">
        <f>SUM(CG16:CJ16)</f>
        <v>196862</v>
      </c>
      <c r="CQ16" s="41">
        <f t="shared" si="3"/>
        <v>90292</v>
      </c>
      <c r="CR16" s="39">
        <f t="shared" si="3"/>
        <v>129532</v>
      </c>
      <c r="CS16" s="39">
        <f t="shared" si="3"/>
        <v>135351</v>
      </c>
      <c r="CT16" s="39">
        <f t="shared" si="3"/>
        <v>113684</v>
      </c>
      <c r="CU16" s="39">
        <f t="shared" si="3"/>
        <v>84490</v>
      </c>
      <c r="CV16" s="39">
        <f t="shared" si="3"/>
        <v>128946</v>
      </c>
      <c r="CW16" s="39">
        <f t="shared" si="3"/>
        <v>128018</v>
      </c>
      <c r="CX16" s="39">
        <f t="shared" si="3"/>
        <v>88078</v>
      </c>
      <c r="CY16" s="39">
        <f t="shared" si="3"/>
        <v>72344</v>
      </c>
      <c r="CZ16" s="39">
        <f t="shared" si="3"/>
        <v>140890</v>
      </c>
      <c r="DA16" s="39">
        <f t="shared" si="3"/>
        <v>124568</v>
      </c>
      <c r="DB16" s="39">
        <f t="shared" si="3"/>
        <v>105288</v>
      </c>
      <c r="DD16" s="39">
        <f t="shared" si="4"/>
        <v>468859</v>
      </c>
      <c r="DE16" s="39">
        <f t="shared" si="4"/>
        <v>429532</v>
      </c>
      <c r="DF16" s="39">
        <f t="shared" si="4"/>
        <v>443090</v>
      </c>
      <c r="DH16" s="39">
        <f t="shared" si="5"/>
        <v>443090</v>
      </c>
      <c r="DI16" s="41">
        <f>61797+1386604</f>
        <v>1448401</v>
      </c>
      <c r="DJ16" s="39">
        <f>63811+1422736</f>
        <v>1486547</v>
      </c>
      <c r="DK16" s="39">
        <f>65433+1414609</f>
        <v>1480042</v>
      </c>
      <c r="DL16" s="39">
        <f>67053+1395032</f>
        <v>1462085</v>
      </c>
      <c r="DM16" s="39">
        <f>68403+1378302</f>
        <v>1446705</v>
      </c>
      <c r="DN16" s="39">
        <f>68725+1434238</f>
        <v>1502963</v>
      </c>
      <c r="DO16" s="39">
        <f>70120+1424834</f>
        <v>1494954</v>
      </c>
      <c r="DP16" s="39">
        <f>1408293+71571</f>
        <v>1479864</v>
      </c>
      <c r="DQ16" s="39">
        <f>73248+1390419</f>
        <v>1463667</v>
      </c>
      <c r="DR16" s="39">
        <f>75224+1402763</f>
        <v>1477987</v>
      </c>
      <c r="DS16" s="39">
        <f>1390194+76604</f>
        <v>1466798</v>
      </c>
      <c r="DT16" s="39">
        <f>1374101+78162</f>
        <v>1452263</v>
      </c>
      <c r="DV16" s="39">
        <f>DL16</f>
        <v>1462085</v>
      </c>
      <c r="DW16" s="39">
        <f>DP16</f>
        <v>1479864</v>
      </c>
      <c r="DX16" s="39">
        <f>DT16</f>
        <v>1452263</v>
      </c>
      <c r="DZ16" s="40">
        <f>DT16</f>
        <v>1452263</v>
      </c>
      <c r="EA16" s="45">
        <f>15034+5219+793596+224997</f>
        <v>1038846</v>
      </c>
      <c r="EB16" s="46">
        <f>13369+4916+810302+223871</f>
        <v>1052458</v>
      </c>
      <c r="EC16" s="46">
        <f>15947+9213+812166+228424</f>
        <v>1065750</v>
      </c>
      <c r="ED16" s="46">
        <f>16792+9186+828647+213032</f>
        <v>1067657</v>
      </c>
      <c r="EE16" s="46">
        <f>17297+9392+867661+212174</f>
        <v>1106524</v>
      </c>
      <c r="EF16" s="46">
        <f>18184+10856+871678+211760</f>
        <v>1112478</v>
      </c>
      <c r="EG16" s="46">
        <f>15372+11175+869323+211380</f>
        <v>1107250</v>
      </c>
      <c r="EH16" s="46">
        <f>12357+11515+422792+502440+211051</f>
        <v>1160155</v>
      </c>
      <c r="EI16" s="46">
        <f>13156+8083+11486+420624+471438+209536</f>
        <v>1134323</v>
      </c>
      <c r="EJ16" s="46">
        <f>39344+1885+12802+430849+446716+201444</f>
        <v>1133040</v>
      </c>
      <c r="EK16" s="46">
        <f>36758+6850+12846+428668+447849+200151</f>
        <v>1133122</v>
      </c>
      <c r="EL16" s="46">
        <f>36121+13239+429333+199691+472440+78162</f>
        <v>1228986</v>
      </c>
      <c r="EM16" s="46"/>
      <c r="EN16" s="46">
        <f>ED16</f>
        <v>1067657</v>
      </c>
      <c r="EO16" s="46">
        <f>EH16</f>
        <v>1160155</v>
      </c>
      <c r="EP16" s="46">
        <f>EL16</f>
        <v>1228986</v>
      </c>
      <c r="EQ16" s="46"/>
      <c r="ER16" s="40">
        <f>EL16</f>
        <v>1228986</v>
      </c>
      <c r="ES16" s="45">
        <f t="shared" si="7"/>
        <v>2487247</v>
      </c>
      <c r="ET16" s="46">
        <f t="shared" si="7"/>
        <v>2539005</v>
      </c>
      <c r="EU16" s="46">
        <f t="shared" si="7"/>
        <v>2545792</v>
      </c>
      <c r="EV16" s="46">
        <f t="shared" si="7"/>
        <v>2529742</v>
      </c>
      <c r="EW16" s="46">
        <f t="shared" si="7"/>
        <v>2553229</v>
      </c>
      <c r="EX16" s="46">
        <f t="shared" si="7"/>
        <v>2615441</v>
      </c>
      <c r="EY16" s="46">
        <f t="shared" si="7"/>
        <v>2602204</v>
      </c>
      <c r="EZ16" s="46">
        <f t="shared" si="7"/>
        <v>2640019</v>
      </c>
      <c r="FA16" s="46">
        <f t="shared" si="7"/>
        <v>2597990</v>
      </c>
      <c r="FB16" s="46">
        <f t="shared" si="7"/>
        <v>2611027</v>
      </c>
      <c r="FC16" s="46">
        <f t="shared" si="7"/>
        <v>2599920</v>
      </c>
      <c r="FD16" s="46">
        <f t="shared" si="7"/>
        <v>2681249</v>
      </c>
      <c r="FE16" s="46"/>
      <c r="FF16" s="46">
        <f t="shared" si="9"/>
        <v>2529742</v>
      </c>
      <c r="FG16" s="46">
        <f t="shared" si="9"/>
        <v>2640019</v>
      </c>
      <c r="FH16" s="46">
        <f t="shared" si="9"/>
        <v>2681249</v>
      </c>
      <c r="FI16" s="46"/>
      <c r="FJ16" s="46">
        <f t="shared" si="10"/>
        <v>2681249</v>
      </c>
      <c r="FK16" s="45">
        <v>255852</v>
      </c>
      <c r="FL16" s="46">
        <v>220142</v>
      </c>
      <c r="FM16" s="46">
        <v>204237</v>
      </c>
      <c r="FN16" s="46">
        <v>218120</v>
      </c>
      <c r="FO16" s="46">
        <v>184480</v>
      </c>
      <c r="FP16" s="46">
        <v>231647</v>
      </c>
      <c r="FQ16" s="46">
        <v>291697</v>
      </c>
      <c r="FR16" s="46">
        <v>232792</v>
      </c>
      <c r="FS16" s="46">
        <v>247195</v>
      </c>
      <c r="FT16" s="46">
        <v>262230</v>
      </c>
      <c r="FU16" s="46">
        <v>306932</v>
      </c>
      <c r="FV16" s="46">
        <v>298020</v>
      </c>
      <c r="FW16" s="46"/>
      <c r="FX16" s="46">
        <f>FN16</f>
        <v>218120</v>
      </c>
      <c r="FY16" s="46">
        <f>FR16</f>
        <v>232792</v>
      </c>
      <c r="FZ16" s="46">
        <f>FV16</f>
        <v>298020</v>
      </c>
      <c r="GA16" s="46"/>
      <c r="GB16" s="40">
        <f>FV16</f>
        <v>298020</v>
      </c>
      <c r="GC16" s="45">
        <v>15883</v>
      </c>
      <c r="GD16" s="46">
        <v>30103</v>
      </c>
      <c r="GE16" s="46">
        <v>32821</v>
      </c>
      <c r="GF16" s="46">
        <v>57287</v>
      </c>
      <c r="GG16" s="46">
        <v>12755</v>
      </c>
      <c r="GH16" s="46">
        <v>77219</v>
      </c>
      <c r="GI16" s="46">
        <v>109156</v>
      </c>
      <c r="GJ16" s="46">
        <f>GQ16-SUM(GG16:GI16)</f>
        <v>2326</v>
      </c>
      <c r="GK16" s="46">
        <v>41612</v>
      </c>
      <c r="GL16" s="46">
        <f>99236-GK16</f>
        <v>57624</v>
      </c>
      <c r="GM16" s="46">
        <v>49422</v>
      </c>
      <c r="GN16" s="46">
        <f>GR16-SUM(GK16:GM16)</f>
        <v>48163</v>
      </c>
      <c r="GO16" s="46"/>
      <c r="GP16" s="46">
        <f>SUM(GC16:GF16)</f>
        <v>136094</v>
      </c>
      <c r="GQ16" s="46">
        <v>201456</v>
      </c>
      <c r="GR16" s="46">
        <v>196821</v>
      </c>
      <c r="GS16" s="46"/>
      <c r="GT16" s="40">
        <f>SUM(GK16:GN16)</f>
        <v>196821</v>
      </c>
      <c r="GU16" s="45">
        <v>23380</v>
      </c>
      <c r="GV16" s="46">
        <v>26658</v>
      </c>
      <c r="GW16" s="46">
        <v>25565</v>
      </c>
      <c r="GX16" s="46">
        <v>35561</v>
      </c>
      <c r="GY16" s="46">
        <v>29228</v>
      </c>
      <c r="GZ16" s="46">
        <v>19284</v>
      </c>
      <c r="HA16" s="46">
        <v>29269</v>
      </c>
      <c r="HB16" s="46">
        <f>HI16-SUM(GY16:HA16)</f>
        <v>36127</v>
      </c>
      <c r="HC16" s="46">
        <v>27392</v>
      </c>
      <c r="HD16" s="46">
        <f>72739-HC16</f>
        <v>45347</v>
      </c>
      <c r="HE16" s="46">
        <v>24902</v>
      </c>
      <c r="HF16" s="46">
        <f>HJ16-SUM(HC16:HE16)</f>
        <v>29642</v>
      </c>
      <c r="HG16" s="46"/>
      <c r="HH16" s="46">
        <f>SUM(GU16:GX16)</f>
        <v>111164</v>
      </c>
      <c r="HI16" s="46">
        <v>113908</v>
      </c>
      <c r="HJ16" s="46">
        <v>127283</v>
      </c>
      <c r="HK16" s="46"/>
      <c r="HL16" s="40">
        <f>SUM(HC16:HF16)</f>
        <v>127283</v>
      </c>
      <c r="HM16" s="45">
        <f t="shared" si="11"/>
        <v>-7497</v>
      </c>
      <c r="HN16" s="46">
        <f t="shared" si="11"/>
        <v>3445</v>
      </c>
      <c r="HO16" s="46">
        <f t="shared" si="11"/>
        <v>7256</v>
      </c>
      <c r="HP16" s="46">
        <f t="shared" si="11"/>
        <v>21726</v>
      </c>
      <c r="HQ16" s="46">
        <f t="shared" si="11"/>
        <v>-16473</v>
      </c>
      <c r="HR16" s="46">
        <f t="shared" si="11"/>
        <v>57935</v>
      </c>
      <c r="HS16" s="46">
        <f t="shared" si="11"/>
        <v>79887</v>
      </c>
      <c r="HT16" s="46">
        <f t="shared" si="11"/>
        <v>-33801</v>
      </c>
      <c r="HU16" s="46">
        <f t="shared" si="11"/>
        <v>14220</v>
      </c>
      <c r="HV16" s="46">
        <f t="shared" si="11"/>
        <v>12277</v>
      </c>
      <c r="HW16" s="46">
        <f t="shared" si="11"/>
        <v>24520</v>
      </c>
      <c r="HX16" s="46">
        <f t="shared" si="11"/>
        <v>18521</v>
      </c>
      <c r="HY16" s="46"/>
      <c r="HZ16" s="46">
        <f t="shared" si="12"/>
        <v>24930</v>
      </c>
      <c r="IA16" s="46">
        <f t="shared" si="12"/>
        <v>87548</v>
      </c>
      <c r="IB16" s="46">
        <f t="shared" si="12"/>
        <v>69538</v>
      </c>
      <c r="IC16" s="46"/>
      <c r="ID16" s="46">
        <f t="shared" si="13"/>
        <v>69538</v>
      </c>
      <c r="IE16" s="47">
        <f t="shared" si="14"/>
        <v>1.8051901315526411</v>
      </c>
      <c r="IF16" s="48">
        <f t="shared" si="14"/>
        <v>1.8600763950716563</v>
      </c>
      <c r="IG16" s="48">
        <f t="shared" si="14"/>
        <v>1.879927220200561</v>
      </c>
      <c r="IH16" s="48">
        <f t="shared" si="14"/>
        <v>1.5521271366937905</v>
      </c>
      <c r="II16" s="48">
        <f t="shared" si="14"/>
        <v>1.209505404051249</v>
      </c>
      <c r="IJ16" s="48">
        <f t="shared" si="14"/>
        <v>1.751341219932905</v>
      </c>
      <c r="IK16" s="48">
        <f t="shared" si="14"/>
        <v>1.6844473684210526</v>
      </c>
      <c r="IL16" s="48">
        <f t="shared" si="14"/>
        <v>1.2199337940968711</v>
      </c>
      <c r="IM16" s="48">
        <f t="shared" si="14"/>
        <v>1.0738151430140566</v>
      </c>
      <c r="IN16" s="48">
        <f t="shared" si="14"/>
        <v>1.920712172644609</v>
      </c>
      <c r="IO16" s="48">
        <f t="shared" si="14"/>
        <v>1.708939252592877</v>
      </c>
      <c r="IP16" s="48">
        <f t="shared" si="14"/>
        <v>1.5112603884080438</v>
      </c>
      <c r="IQ16" s="48"/>
      <c r="IR16" s="48">
        <f t="shared" si="15"/>
        <v>1.7699605131031566</v>
      </c>
      <c r="IS16" s="48">
        <f t="shared" si="15"/>
        <v>1.4726087746545027</v>
      </c>
      <c r="IT16" s="48">
        <f t="shared" si="15"/>
        <v>1.5641138782498192</v>
      </c>
      <c r="IU16" s="48"/>
      <c r="IV16" s="48">
        <f t="shared" si="16"/>
        <v>1.5641138782498192</v>
      </c>
      <c r="IW16" s="47">
        <f t="shared" si="17"/>
        <v>5.4694528683345967</v>
      </c>
      <c r="IX16" s="48">
        <f t="shared" si="17"/>
        <v>3.1899626585194345</v>
      </c>
      <c r="IY16" s="48">
        <f t="shared" si="17"/>
        <v>3.0518710697226901</v>
      </c>
      <c r="IZ16" s="48">
        <f t="shared" si="17"/>
        <v>4.0726018096095453</v>
      </c>
      <c r="JA16" s="48">
        <f t="shared" si="17"/>
        <v>7.5481186389805996</v>
      </c>
      <c r="JB16" s="48">
        <f t="shared" si="17"/>
        <v>3.4734544773323344</v>
      </c>
      <c r="JC16" s="48">
        <f t="shared" si="17"/>
        <v>3.5138746080708838</v>
      </c>
      <c r="JD16" s="48">
        <f t="shared" si="17"/>
        <v>7.3900871404183759</v>
      </c>
      <c r="JE16" s="48">
        <f t="shared" si="17"/>
        <v>11.543157487686734</v>
      </c>
      <c r="JF16" s="48">
        <f t="shared" si="17"/>
        <v>3.0599215737109895</v>
      </c>
      <c r="JG16" s="48">
        <f t="shared" si="17"/>
        <v>3.7689825840528997</v>
      </c>
      <c r="JH16" s="48">
        <f t="shared" si="17"/>
        <v>5.6972408166292716</v>
      </c>
      <c r="JI16" s="48"/>
      <c r="JJ16" s="48">
        <f t="shared" si="18"/>
        <v>3.7752008429747392</v>
      </c>
      <c r="JK16" s="48">
        <f t="shared" si="18"/>
        <v>4.9422346992242581</v>
      </c>
      <c r="JL16" s="48">
        <f t="shared" si="18"/>
        <v>4.9912520103318876</v>
      </c>
      <c r="JM16" s="48"/>
      <c r="JN16" s="48">
        <f t="shared" si="19"/>
        <v>4.9912520103318876</v>
      </c>
      <c r="JO16" s="47">
        <f t="shared" si="20"/>
        <v>6.8866760067337083</v>
      </c>
      <c r="JP16" s="48">
        <f t="shared" si="20"/>
        <v>4.9003431584473338</v>
      </c>
      <c r="JQ16" s="48">
        <f t="shared" si="20"/>
        <v>4.7022038994909527</v>
      </c>
      <c r="JR16" s="48">
        <f t="shared" si="20"/>
        <v>5.563100348333978</v>
      </c>
      <c r="JS16" s="48">
        <f t="shared" si="20"/>
        <v>7.5548260149130071</v>
      </c>
      <c r="JT16" s="48">
        <f t="shared" si="20"/>
        <v>5.070806771826966</v>
      </c>
      <c r="JU16" s="48">
        <f t="shared" si="20"/>
        <v>5.0817150713180963</v>
      </c>
      <c r="JV16" s="48">
        <f t="shared" si="20"/>
        <v>7.4934120892844982</v>
      </c>
      <c r="JW16" s="48">
        <f t="shared" si="20"/>
        <v>8.9779041800287516</v>
      </c>
      <c r="JX16" s="48">
        <f t="shared" si="20"/>
        <v>4.6330949677053024</v>
      </c>
      <c r="JY16" s="48">
        <f t="shared" si="20"/>
        <v>5.2178729689807977</v>
      </c>
      <c r="JZ16" s="48">
        <f t="shared" si="20"/>
        <v>6.3664638895220724</v>
      </c>
      <c r="KA16" s="48"/>
      <c r="KB16" s="48">
        <f t="shared" si="22"/>
        <v>5.3955282931542321</v>
      </c>
      <c r="KC16" s="48">
        <f t="shared" si="22"/>
        <v>6.1462684968756696</v>
      </c>
      <c r="KD16" s="48">
        <f>IFERROR(FH16/(DF16),"")</f>
        <v>6.0512514387596203</v>
      </c>
      <c r="KE16" s="48"/>
      <c r="KF16" s="48">
        <f t="shared" si="23"/>
        <v>6.0512514387596203</v>
      </c>
      <c r="KG16" s="49">
        <f t="shared" si="24"/>
        <v>7643471</v>
      </c>
      <c r="KH16" s="50">
        <f t="shared" si="35"/>
        <v>-0.12465594788433576</v>
      </c>
      <c r="KI16" s="49">
        <f t="shared" si="25"/>
        <v>246228</v>
      </c>
      <c r="KJ16" s="50">
        <f t="shared" si="36"/>
        <v>4.8925846564114694E-2</v>
      </c>
      <c r="KK16" s="51">
        <f t="shared" si="26"/>
        <v>3.2214160294452614E-2</v>
      </c>
      <c r="KL16" s="52">
        <f t="shared" si="27"/>
        <v>2681249</v>
      </c>
      <c r="KM16" s="52">
        <f t="shared" si="28"/>
        <v>298020</v>
      </c>
      <c r="KN16" s="52">
        <f t="shared" si="29"/>
        <v>196821</v>
      </c>
      <c r="KO16" s="53">
        <f t="shared" si="30"/>
        <v>1.5641138782498192</v>
      </c>
      <c r="KP16" s="54">
        <f t="shared" si="37"/>
        <v>1.4726087746545027</v>
      </c>
      <c r="KQ16" s="53">
        <f t="shared" si="31"/>
        <v>4.9912520103318876</v>
      </c>
      <c r="KR16" s="54">
        <f t="shared" si="38"/>
        <v>4.9422346992242581</v>
      </c>
      <c r="KS16" s="53">
        <f t="shared" si="32"/>
        <v>6.0512514387596203</v>
      </c>
      <c r="KT16" s="54">
        <f t="shared" si="39"/>
        <v>6.1462684968756696</v>
      </c>
      <c r="KU16" s="55" t="s">
        <v>65</v>
      </c>
      <c r="KV16" s="68">
        <v>1</v>
      </c>
      <c r="KW16" s="37" t="s">
        <v>66</v>
      </c>
      <c r="KY16" s="37" t="s">
        <v>91</v>
      </c>
      <c r="KZ16" s="37" t="s">
        <v>113</v>
      </c>
      <c r="LA16" s="37" t="s">
        <v>153</v>
      </c>
      <c r="LB16" s="57" t="s">
        <v>113</v>
      </c>
      <c r="LD16" s="58" t="s">
        <v>154</v>
      </c>
      <c r="LE16" s="12"/>
      <c r="LF16" s="59" t="s">
        <v>155</v>
      </c>
    </row>
    <row r="17" spans="1:318" x14ac:dyDescent="0.25">
      <c r="A17" s="36" t="s">
        <v>156</v>
      </c>
      <c r="B17" s="37" t="s">
        <v>157</v>
      </c>
      <c r="C17" s="37" t="str">
        <f>INDEX('[1]Property Summary'!AB:AB,MATCH($A17,'[1]Property Summary'!$F:$F,FALSE))</f>
        <v>ST Albuquerque</v>
      </c>
      <c r="D17" s="38"/>
      <c r="E17" s="39">
        <v>54895</v>
      </c>
      <c r="F17" s="39">
        <v>62045</v>
      </c>
      <c r="G17" s="39">
        <v>67661</v>
      </c>
      <c r="H17" s="39">
        <v>59991</v>
      </c>
      <c r="I17" s="39">
        <v>92767</v>
      </c>
      <c r="J17" s="39">
        <v>106251</v>
      </c>
      <c r="K17" s="39">
        <v>104808</v>
      </c>
      <c r="L17" s="39">
        <f>S17-SUM(I17:K17)</f>
        <v>132388</v>
      </c>
      <c r="M17" s="39">
        <v>122569</v>
      </c>
      <c r="N17" s="39">
        <v>144498</v>
      </c>
      <c r="O17" s="39">
        <v>155080</v>
      </c>
      <c r="P17" s="39">
        <v>179652</v>
      </c>
      <c r="R17" s="39">
        <f>SUM(E17:H17)</f>
        <v>244592</v>
      </c>
      <c r="S17" s="39">
        <v>436214</v>
      </c>
      <c r="T17" s="39">
        <f>SUM(M17:P17)</f>
        <v>601799</v>
      </c>
      <c r="V17" s="40">
        <f>SUM(M17:P17)</f>
        <v>601799</v>
      </c>
      <c r="W17" s="41">
        <v>-26169</v>
      </c>
      <c r="X17" s="39">
        <v>-20152</v>
      </c>
      <c r="Y17" s="39">
        <v>-15547</v>
      </c>
      <c r="Z17" s="39">
        <v>-28989</v>
      </c>
      <c r="AA17" s="39">
        <v>-21670</v>
      </c>
      <c r="AB17" s="39">
        <f>-21212</f>
        <v>-21212</v>
      </c>
      <c r="AC17" s="39">
        <v>-30867</v>
      </c>
      <c r="AD17" s="39">
        <v>-23194</v>
      </c>
      <c r="AE17" s="39">
        <v>-29962</v>
      </c>
      <c r="AF17" s="69">
        <v>-27584</v>
      </c>
      <c r="AG17" s="69">
        <v>-26275</v>
      </c>
      <c r="AH17" s="69">
        <v>-17369</v>
      </c>
      <c r="AI17" s="69"/>
      <c r="AJ17" s="39">
        <f>SUM(W17:Z17)</f>
        <v>-90857</v>
      </c>
      <c r="AK17" s="39">
        <f>SUM(AA17:AD17)</f>
        <v>-96943</v>
      </c>
      <c r="AL17" s="39">
        <f>SUM(AE17:AH17)</f>
        <v>-101190</v>
      </c>
      <c r="AN17" s="40">
        <f>SUM(AE17:AH17)</f>
        <v>-101190</v>
      </c>
      <c r="AO17" s="42">
        <f t="shared" si="0"/>
        <v>-0.4767100828855087</v>
      </c>
      <c r="AP17" s="43">
        <f t="shared" si="0"/>
        <v>-0.32479651865581433</v>
      </c>
      <c r="AQ17" s="43">
        <f t="shared" si="0"/>
        <v>-0.22977786317080739</v>
      </c>
      <c r="AR17" s="43">
        <f t="shared" si="0"/>
        <v>-0.4832224833725059</v>
      </c>
      <c r="AS17" s="43">
        <f t="shared" si="0"/>
        <v>-0.23359599857708022</v>
      </c>
      <c r="AT17" s="43">
        <f t="shared" si="0"/>
        <v>-0.19964047397200968</v>
      </c>
      <c r="AU17" s="43">
        <f t="shared" si="0"/>
        <v>-0.29450996107167393</v>
      </c>
      <c r="AV17" s="43">
        <f t="shared" si="0"/>
        <v>-0.1751971477777442</v>
      </c>
      <c r="AW17" s="43">
        <f t="shared" si="0"/>
        <v>-0.24445006486142498</v>
      </c>
      <c r="AX17" s="43">
        <f t="shared" si="0"/>
        <v>-0.19089537571454276</v>
      </c>
      <c r="AY17" s="43">
        <f t="shared" si="0"/>
        <v>-0.16942868197059582</v>
      </c>
      <c r="AZ17" s="43">
        <f t="shared" si="0"/>
        <v>-9.6681361743815822E-2</v>
      </c>
      <c r="BA17" s="43"/>
      <c r="BB17" s="43">
        <f t="shared" si="1"/>
        <v>-0.37146349839733106</v>
      </c>
      <c r="BC17" s="43">
        <f t="shared" si="1"/>
        <v>-0.22223725052382545</v>
      </c>
      <c r="BD17" s="43">
        <f t="shared" si="1"/>
        <v>-0.16814584271492641</v>
      </c>
      <c r="BE17" s="43"/>
      <c r="BF17" s="44">
        <f t="shared" si="2"/>
        <v>-0.16814584271492641</v>
      </c>
      <c r="BG17" s="41">
        <v>685</v>
      </c>
      <c r="BH17" s="39">
        <v>745</v>
      </c>
      <c r="BI17" s="39">
        <v>1413</v>
      </c>
      <c r="BJ17" s="39">
        <v>1405</v>
      </c>
      <c r="BK17" s="39">
        <v>898</v>
      </c>
      <c r="BL17" s="39">
        <v>824</v>
      </c>
      <c r="BM17" s="39">
        <v>454</v>
      </c>
      <c r="BN17" s="39">
        <f>BU17-SUM(BK17:BM17)</f>
        <v>1778</v>
      </c>
      <c r="BO17" s="39">
        <v>2586</v>
      </c>
      <c r="BP17" s="39">
        <v>2371</v>
      </c>
      <c r="BQ17" s="39">
        <v>590</v>
      </c>
      <c r="BR17" s="39">
        <f>BV17-SUM(BO17:BQ17)</f>
        <v>-4570</v>
      </c>
      <c r="BT17" s="39">
        <f>SUM(BG17:BJ17)</f>
        <v>4248</v>
      </c>
      <c r="BU17" s="39">
        <v>3954</v>
      </c>
      <c r="BV17" s="39">
        <f>26489-25512</f>
        <v>977</v>
      </c>
      <c r="BX17" s="40">
        <f>BV17</f>
        <v>977</v>
      </c>
      <c r="BY17" s="41">
        <f>CL17/4</f>
        <v>1943.5</v>
      </c>
      <c r="BZ17" s="39">
        <f>BY17</f>
        <v>1943.5</v>
      </c>
      <c r="CA17" s="39">
        <f>BZ17</f>
        <v>1943.5</v>
      </c>
      <c r="CB17" s="39">
        <f>CA17</f>
        <v>1943.5</v>
      </c>
      <c r="CC17" s="39">
        <f>CM17/4</f>
        <v>2745.5</v>
      </c>
      <c r="CD17" s="39">
        <f>CC17</f>
        <v>2745.5</v>
      </c>
      <c r="CE17" s="39">
        <f>CD17</f>
        <v>2745.5</v>
      </c>
      <c r="CF17" s="39">
        <f>CM17-SUM(CC17:CE17)</f>
        <v>2745.5</v>
      </c>
      <c r="CG17" s="70">
        <f t="shared" ref="CG17:CI18" si="43">CH17</f>
        <v>3692</v>
      </c>
      <c r="CH17" s="70">
        <f t="shared" si="43"/>
        <v>3692</v>
      </c>
      <c r="CI17" s="70">
        <f t="shared" si="43"/>
        <v>3692</v>
      </c>
      <c r="CJ17" s="70">
        <f>CN17/4</f>
        <v>3692</v>
      </c>
      <c r="CK17" s="70"/>
      <c r="CL17" s="39">
        <v>7774</v>
      </c>
      <c r="CM17" s="39">
        <v>10982</v>
      </c>
      <c r="CN17" s="39">
        <v>14768</v>
      </c>
      <c r="CP17" s="40">
        <f>SUM(CG17:CJ17)</f>
        <v>14768</v>
      </c>
      <c r="CQ17" s="41">
        <f t="shared" si="3"/>
        <v>-24225.5</v>
      </c>
      <c r="CR17" s="39">
        <f t="shared" si="3"/>
        <v>-18208.5</v>
      </c>
      <c r="CS17" s="39">
        <f t="shared" si="3"/>
        <v>-13603.5</v>
      </c>
      <c r="CT17" s="39">
        <f t="shared" si="3"/>
        <v>-27045.5</v>
      </c>
      <c r="CU17" s="39">
        <f t="shared" si="3"/>
        <v>-18924.5</v>
      </c>
      <c r="CV17" s="39">
        <f t="shared" si="3"/>
        <v>-18466.5</v>
      </c>
      <c r="CW17" s="39">
        <f t="shared" si="3"/>
        <v>-28121.5</v>
      </c>
      <c r="CX17" s="39">
        <f t="shared" si="3"/>
        <v>-20448.5</v>
      </c>
      <c r="CY17" s="39">
        <f t="shared" si="3"/>
        <v>-26270</v>
      </c>
      <c r="CZ17" s="39">
        <f t="shared" si="3"/>
        <v>-23892</v>
      </c>
      <c r="DA17" s="39">
        <f t="shared" si="3"/>
        <v>-22583</v>
      </c>
      <c r="DB17" s="39">
        <f t="shared" si="3"/>
        <v>-13677</v>
      </c>
      <c r="DD17" s="39">
        <f t="shared" si="4"/>
        <v>-83083</v>
      </c>
      <c r="DE17" s="39">
        <f t="shared" si="4"/>
        <v>-85961</v>
      </c>
      <c r="DF17" s="39">
        <f t="shared" si="4"/>
        <v>-86422</v>
      </c>
      <c r="DH17" s="39">
        <f t="shared" si="5"/>
        <v>-86422</v>
      </c>
      <c r="DI17" s="41">
        <f>5276+33870</f>
        <v>39146</v>
      </c>
      <c r="DJ17" s="39">
        <f>5276+43169</f>
        <v>48445</v>
      </c>
      <c r="DK17" s="39">
        <f>5276+41695</f>
        <v>46971</v>
      </c>
      <c r="DL17" s="39">
        <f>56099+5276</f>
        <v>61375</v>
      </c>
      <c r="DM17" s="39">
        <f>5276+54101</f>
        <v>59377</v>
      </c>
      <c r="DN17" s="39">
        <f>5276+52888</f>
        <v>58164</v>
      </c>
      <c r="DO17" s="39">
        <f>51906+5276</f>
        <v>57182</v>
      </c>
      <c r="DP17" s="39">
        <f>51965+6170</f>
        <v>58135</v>
      </c>
      <c r="DQ17" s="71">
        <f>50643</f>
        <v>50643</v>
      </c>
      <c r="DR17" s="71">
        <v>66626</v>
      </c>
      <c r="DS17" s="71">
        <f>86505</f>
        <v>86505</v>
      </c>
      <c r="DT17" s="71">
        <f>DX17</f>
        <v>96007</v>
      </c>
      <c r="DU17" s="71"/>
      <c r="DV17" s="39">
        <f>DL17</f>
        <v>61375</v>
      </c>
      <c r="DW17" s="39">
        <f>DP17</f>
        <v>58135</v>
      </c>
      <c r="DX17" s="39">
        <f>85191+10816</f>
        <v>96007</v>
      </c>
      <c r="DZ17" s="40">
        <f>DT17</f>
        <v>96007</v>
      </c>
      <c r="EA17" s="45">
        <f>2934+100724+15478</f>
        <v>119136</v>
      </c>
      <c r="EB17" s="46">
        <f>104381+15385</f>
        <v>119766</v>
      </c>
      <c r="EC17" s="46">
        <f>105116+15299</f>
        <v>120415</v>
      </c>
      <c r="ED17" s="46">
        <f>17764+87587+15238</f>
        <v>120589</v>
      </c>
      <c r="EE17" s="46">
        <f>10996+343829+52717+15177</f>
        <v>422719</v>
      </c>
      <c r="EF17" s="46">
        <f>11345+344344+50061+15112</f>
        <v>420862</v>
      </c>
      <c r="EG17" s="46">
        <f>11758+344865+46915+15042</f>
        <v>418580</v>
      </c>
      <c r="EH17" s="46">
        <f>12045+345392+44049+14970</f>
        <v>416456</v>
      </c>
      <c r="EI17" s="46">
        <f>20490+345926+57728+14897</f>
        <v>439041</v>
      </c>
      <c r="EJ17" s="46">
        <f>346466+53720+14820+16503</f>
        <v>431509</v>
      </c>
      <c r="EK17" s="46">
        <f>17090+347014+51267+14742</f>
        <v>430113</v>
      </c>
      <c r="EL17" s="46">
        <f>EP17</f>
        <v>190001</v>
      </c>
      <c r="EM17" s="46"/>
      <c r="EN17" s="46">
        <f>ED17</f>
        <v>120589</v>
      </c>
      <c r="EO17" s="46">
        <f>EH17</f>
        <v>416456</v>
      </c>
      <c r="EP17" s="46">
        <f>21237+152395+1716+14653</f>
        <v>190001</v>
      </c>
      <c r="EQ17" s="46"/>
      <c r="ER17" s="40">
        <f>EL17</f>
        <v>190001</v>
      </c>
      <c r="ES17" s="45">
        <f t="shared" si="7"/>
        <v>158282</v>
      </c>
      <c r="ET17" s="46">
        <f t="shared" si="7"/>
        <v>168211</v>
      </c>
      <c r="EU17" s="46">
        <f t="shared" si="7"/>
        <v>167386</v>
      </c>
      <c r="EV17" s="46">
        <f t="shared" si="7"/>
        <v>181964</v>
      </c>
      <c r="EW17" s="46">
        <f t="shared" si="7"/>
        <v>482096</v>
      </c>
      <c r="EX17" s="46">
        <f t="shared" si="7"/>
        <v>479026</v>
      </c>
      <c r="EY17" s="46">
        <f t="shared" si="7"/>
        <v>475762</v>
      </c>
      <c r="EZ17" s="46">
        <f t="shared" si="7"/>
        <v>474591</v>
      </c>
      <c r="FA17" s="46">
        <f t="shared" si="7"/>
        <v>489684</v>
      </c>
      <c r="FB17" s="46">
        <f t="shared" si="7"/>
        <v>498135</v>
      </c>
      <c r="FC17" s="46">
        <f t="shared" si="7"/>
        <v>516618</v>
      </c>
      <c r="FD17" s="46">
        <f t="shared" si="7"/>
        <v>286008</v>
      </c>
      <c r="FE17" s="46"/>
      <c r="FF17" s="46">
        <f t="shared" si="9"/>
        <v>181964</v>
      </c>
      <c r="FG17" s="46">
        <f t="shared" si="9"/>
        <v>474591</v>
      </c>
      <c r="FH17" s="46">
        <f t="shared" si="9"/>
        <v>286008</v>
      </c>
      <c r="FI17" s="46"/>
      <c r="FJ17" s="46">
        <f t="shared" si="10"/>
        <v>286008</v>
      </c>
      <c r="FK17" s="45">
        <v>208365</v>
      </c>
      <c r="FL17" s="46">
        <v>197160</v>
      </c>
      <c r="FM17" s="46">
        <v>140904</v>
      </c>
      <c r="FN17" s="46">
        <v>162518</v>
      </c>
      <c r="FO17" s="46">
        <v>365929</v>
      </c>
      <c r="FP17" s="46">
        <v>340911</v>
      </c>
      <c r="FQ17" s="46">
        <v>292470</v>
      </c>
      <c r="FR17" s="46">
        <v>271042</v>
      </c>
      <c r="FS17" s="46">
        <v>303149</v>
      </c>
      <c r="FT17" s="46">
        <v>564081</v>
      </c>
      <c r="FU17" s="46">
        <v>807875</v>
      </c>
      <c r="FV17" s="46">
        <v>828660</v>
      </c>
      <c r="FW17" s="46"/>
      <c r="FX17" s="46">
        <f>FN17</f>
        <v>162518</v>
      </c>
      <c r="FY17" s="46">
        <f>FR17</f>
        <v>271042</v>
      </c>
      <c r="FZ17" s="46">
        <f>FV17</f>
        <v>828660</v>
      </c>
      <c r="GA17" s="46"/>
      <c r="GB17" s="40">
        <f>FZ17</f>
        <v>828660</v>
      </c>
      <c r="GC17" s="45">
        <v>-25385</v>
      </c>
      <c r="GD17" s="46">
        <f>-31449-GC17</f>
        <v>-6064</v>
      </c>
      <c r="GE17" s="46">
        <f>-56650-GD17-GC17</f>
        <v>-25201</v>
      </c>
      <c r="GF17" s="46">
        <f>-98867-GE17-GD17-GC17</f>
        <v>-42217</v>
      </c>
      <c r="GG17" s="46">
        <v>-2588</v>
      </c>
      <c r="GH17" s="46">
        <f>-15588-GG17</f>
        <v>-13000</v>
      </c>
      <c r="GI17" s="46">
        <f>-46503-GH17-GG17</f>
        <v>-30915</v>
      </c>
      <c r="GJ17" s="46">
        <f>GQ17-SUM(GG17:GI17)</f>
        <v>-2387</v>
      </c>
      <c r="GK17" s="46">
        <v>-54225</v>
      </c>
      <c r="GL17" s="46">
        <f>-77467-GK17</f>
        <v>-23242</v>
      </c>
      <c r="GM17" s="46">
        <f>-100990-GL17-GK17</f>
        <v>-23523</v>
      </c>
      <c r="GN17" s="46">
        <f>-165521-GM17-GL17-GK17</f>
        <v>-64531</v>
      </c>
      <c r="GO17" s="46"/>
      <c r="GP17" s="46">
        <f>SUM(GC17:GF17)</f>
        <v>-98867</v>
      </c>
      <c r="GQ17" s="46">
        <f>-48890</f>
        <v>-48890</v>
      </c>
      <c r="GR17" s="46">
        <f>SUM(GK17:GN17)</f>
        <v>-165521</v>
      </c>
      <c r="GS17" s="46"/>
      <c r="GT17" s="40">
        <f>SUM(GK17:GN17)</f>
        <v>-165521</v>
      </c>
      <c r="GU17" s="45">
        <v>12674</v>
      </c>
      <c r="GV17" s="46">
        <f>23246-GU17</f>
        <v>10572</v>
      </c>
      <c r="GW17" s="46">
        <f>44293-GV17-GU17</f>
        <v>21047</v>
      </c>
      <c r="GX17" s="46">
        <f>54707-GW17-GV17-GU17</f>
        <v>10414</v>
      </c>
      <c r="GY17" s="46">
        <v>19177</v>
      </c>
      <c r="GZ17" s="46">
        <f>34521-GY17</f>
        <v>15344</v>
      </c>
      <c r="HA17" s="46">
        <f>45539-GZ17-GY17</f>
        <v>11018</v>
      </c>
      <c r="HB17" s="46">
        <f>HI17-SUM(GY17:HA17)</f>
        <v>21554</v>
      </c>
      <c r="HC17" s="46">
        <v>28677</v>
      </c>
      <c r="HD17" s="72">
        <f>60719-HC17</f>
        <v>32042</v>
      </c>
      <c r="HE17" s="72">
        <f>106631-HD17-HC17</f>
        <v>45912</v>
      </c>
      <c r="HF17" s="72">
        <f>156285-HE17-HD17-HC17</f>
        <v>49654</v>
      </c>
      <c r="HG17" s="72"/>
      <c r="HH17" s="46">
        <f>SUM(GU17:GX17)</f>
        <v>54707</v>
      </c>
      <c r="HI17" s="46">
        <v>67093</v>
      </c>
      <c r="HJ17" s="46">
        <f>SUM(HC17:HF17)</f>
        <v>156285</v>
      </c>
      <c r="HK17" s="46"/>
      <c r="HL17" s="40">
        <f>SUM(HC17:HF17)</f>
        <v>156285</v>
      </c>
      <c r="HM17" s="45">
        <f t="shared" si="11"/>
        <v>-38059</v>
      </c>
      <c r="HN17" s="46">
        <f t="shared" si="11"/>
        <v>-16636</v>
      </c>
      <c r="HO17" s="46">
        <f t="shared" si="11"/>
        <v>-46248</v>
      </c>
      <c r="HP17" s="46">
        <f t="shared" si="11"/>
        <v>-52631</v>
      </c>
      <c r="HQ17" s="46">
        <f t="shared" si="11"/>
        <v>-21765</v>
      </c>
      <c r="HR17" s="46">
        <f t="shared" si="11"/>
        <v>-28344</v>
      </c>
      <c r="HS17" s="46">
        <f t="shared" si="11"/>
        <v>-41933</v>
      </c>
      <c r="HT17" s="46">
        <f t="shared" si="11"/>
        <v>-23941</v>
      </c>
      <c r="HU17" s="46">
        <f t="shared" si="11"/>
        <v>-82902</v>
      </c>
      <c r="HV17" s="46">
        <f t="shared" si="11"/>
        <v>-55284</v>
      </c>
      <c r="HW17" s="46">
        <f t="shared" si="11"/>
        <v>-69435</v>
      </c>
      <c r="HX17" s="46">
        <f t="shared" si="11"/>
        <v>-114185</v>
      </c>
      <c r="HY17" s="46"/>
      <c r="HZ17" s="46">
        <f t="shared" si="12"/>
        <v>-153574</v>
      </c>
      <c r="IA17" s="46">
        <f t="shared" si="12"/>
        <v>-115983</v>
      </c>
      <c r="IB17" s="46">
        <f t="shared" si="12"/>
        <v>-321806</v>
      </c>
      <c r="IC17" s="46"/>
      <c r="ID17" s="46">
        <f t="shared" si="13"/>
        <v>-321806</v>
      </c>
      <c r="IE17" s="47">
        <f t="shared" si="14"/>
        <v>-9.2164732737302639</v>
      </c>
      <c r="IF17" s="48">
        <f t="shared" si="14"/>
        <v>-6.7727357262413985</v>
      </c>
      <c r="IG17" s="48">
        <f t="shared" si="14"/>
        <v>-4.0528824668553556</v>
      </c>
      <c r="IH17" s="48">
        <f t="shared" si="14"/>
        <v>-8.0769001045244142</v>
      </c>
      <c r="II17" s="48">
        <f t="shared" si="14"/>
        <v>-5.1940441882804995</v>
      </c>
      <c r="IJ17" s="48">
        <f t="shared" si="14"/>
        <v>-5.173413643367418</v>
      </c>
      <c r="IK17" s="48">
        <f t="shared" si="14"/>
        <v>-8.7893420847007349</v>
      </c>
      <c r="IL17" s="48">
        <f t="shared" si="14"/>
        <v>-4.5205040344865699</v>
      </c>
      <c r="IM17" s="48">
        <f t="shared" si="14"/>
        <v>-4.1844536476584899</v>
      </c>
      <c r="IN17" s="48">
        <f t="shared" si="14"/>
        <v>-3.9406234537357743</v>
      </c>
      <c r="IO17" s="48">
        <f t="shared" si="14"/>
        <v>-5.2739374124241012</v>
      </c>
      <c r="IP17" s="48">
        <f t="shared" si="14"/>
        <v>15.577448747152619</v>
      </c>
      <c r="IQ17" s="48"/>
      <c r="IR17" s="48">
        <f t="shared" si="15"/>
        <v>-6.9109133255697888</v>
      </c>
      <c r="IS17" s="48">
        <f t="shared" si="15"/>
        <v>-5.7552892340653452</v>
      </c>
      <c r="IT17" s="48">
        <f t="shared" si="15"/>
        <v>-5.4888536043188312</v>
      </c>
      <c r="IU17" s="48"/>
      <c r="IV17" s="48">
        <f t="shared" si="16"/>
        <v>-5.4888536043188312</v>
      </c>
      <c r="IW17" s="47">
        <f t="shared" si="17"/>
        <v>-1.1381405479766136</v>
      </c>
      <c r="IX17" s="48">
        <f t="shared" si="17"/>
        <v>-1.4857830488289003</v>
      </c>
      <c r="IY17" s="48">
        <f t="shared" si="17"/>
        <v>-1.9363060397504341</v>
      </c>
      <c r="IZ17" s="48">
        <f t="shared" si="17"/>
        <v>-1.0399548104453413</v>
      </c>
      <c r="JA17" s="48">
        <f t="shared" si="17"/>
        <v>-4.8767766497461933</v>
      </c>
      <c r="JB17" s="48">
        <f t="shared" si="17"/>
        <v>-4.9601876296435981</v>
      </c>
      <c r="JC17" s="48">
        <f t="shared" si="17"/>
        <v>-3.3901901707324975</v>
      </c>
      <c r="JD17" s="48">
        <f t="shared" si="17"/>
        <v>-4.4888333189618006</v>
      </c>
      <c r="JE17" s="48">
        <f t="shared" si="17"/>
        <v>-3.6633151992523865</v>
      </c>
      <c r="JF17" s="48">
        <f t="shared" si="17"/>
        <v>-3.9108631815545243</v>
      </c>
      <c r="JG17" s="48">
        <f t="shared" si="17"/>
        <v>-4.0924167459562319</v>
      </c>
      <c r="JH17" s="48">
        <f t="shared" si="17"/>
        <v>-2.7347717197305546</v>
      </c>
      <c r="JI17" s="48"/>
      <c r="JJ17" s="48">
        <f t="shared" si="18"/>
        <v>-1.3272395082382205</v>
      </c>
      <c r="JK17" s="48">
        <f t="shared" si="18"/>
        <v>-4.2958852108971248</v>
      </c>
      <c r="JL17" s="48">
        <f t="shared" si="18"/>
        <v>-1.8776657772507164</v>
      </c>
      <c r="JM17" s="48"/>
      <c r="JN17" s="48">
        <f t="shared" si="19"/>
        <v>-1.8776657772507164</v>
      </c>
      <c r="JO17" s="47">
        <f t="shared" si="20"/>
        <v>-1.6334234587521412</v>
      </c>
      <c r="JP17" s="48">
        <f t="shared" si="20"/>
        <v>-2.3095120410797154</v>
      </c>
      <c r="JQ17" s="48">
        <f t="shared" si="20"/>
        <v>-3.0761568713933913</v>
      </c>
      <c r="JR17" s="48">
        <f t="shared" si="20"/>
        <v>-1.6820173411473258</v>
      </c>
      <c r="JS17" s="48">
        <f t="shared" si="20"/>
        <v>-6.3686755264339876</v>
      </c>
      <c r="JT17" s="48">
        <f t="shared" si="20"/>
        <v>-6.4850675547613248</v>
      </c>
      <c r="JU17" s="48">
        <f t="shared" si="20"/>
        <v>-4.2295218960581762</v>
      </c>
      <c r="JV17" s="48">
        <f t="shared" si="20"/>
        <v>-5.8022715602611434</v>
      </c>
      <c r="JW17" s="48">
        <f t="shared" si="20"/>
        <v>-4.6601065854586983</v>
      </c>
      <c r="JX17" s="48">
        <f t="shared" si="20"/>
        <v>-5.2123618784530388</v>
      </c>
      <c r="JY17" s="48">
        <f t="shared" si="20"/>
        <v>-5.7191028649869367</v>
      </c>
      <c r="JZ17" s="48">
        <f t="shared" si="20"/>
        <v>-5.2279008554507564</v>
      </c>
      <c r="KA17" s="48"/>
      <c r="KB17" s="48">
        <f t="shared" ref="KB17:KD18" si="44">IFERROR(FF17/(DD17*4),"")</f>
        <v>-0.54753680054884879</v>
      </c>
      <c r="KC17" s="48">
        <f t="shared" si="44"/>
        <v>-1.3802509277463035</v>
      </c>
      <c r="KD17" s="48">
        <f t="shared" si="44"/>
        <v>-0.82735877438615169</v>
      </c>
      <c r="KE17" s="48"/>
      <c r="KF17" s="48">
        <f t="shared" si="23"/>
        <v>-3.3094350975446067</v>
      </c>
      <c r="KG17" s="49">
        <f t="shared" si="24"/>
        <v>601799</v>
      </c>
      <c r="KH17" s="50">
        <f t="shared" si="35"/>
        <v>0.37959579472460758</v>
      </c>
      <c r="KI17" s="49">
        <f t="shared" si="25"/>
        <v>-101190</v>
      </c>
      <c r="KJ17" s="50">
        <f t="shared" si="36"/>
        <v>4.3809248733791994E-2</v>
      </c>
      <c r="KK17" s="51">
        <f t="shared" si="26"/>
        <v>-0.16814584271492641</v>
      </c>
      <c r="KL17" s="52">
        <f t="shared" si="27"/>
        <v>286008</v>
      </c>
      <c r="KM17" s="52">
        <f t="shared" si="28"/>
        <v>828660</v>
      </c>
      <c r="KN17" s="52">
        <f t="shared" si="29"/>
        <v>-165521</v>
      </c>
      <c r="KO17" s="53">
        <f t="shared" si="30"/>
        <v>-5.4888536043188312</v>
      </c>
      <c r="KP17" s="54">
        <f t="shared" si="37"/>
        <v>-5.7552892340653452</v>
      </c>
      <c r="KQ17" s="53">
        <f t="shared" si="31"/>
        <v>-1.8776657772507164</v>
      </c>
      <c r="KR17" s="54">
        <f t="shared" si="38"/>
        <v>-4.2958852108971248</v>
      </c>
      <c r="KS17" s="53">
        <f t="shared" si="32"/>
        <v>-3.3094350975446067</v>
      </c>
      <c r="KT17" s="54">
        <f t="shared" si="39"/>
        <v>-1.3802509277463035</v>
      </c>
      <c r="KU17" s="55" t="s">
        <v>65</v>
      </c>
      <c r="KV17" s="68">
        <v>1</v>
      </c>
      <c r="KW17" s="37" t="s">
        <v>66</v>
      </c>
      <c r="KY17" s="37" t="s">
        <v>158</v>
      </c>
      <c r="KZ17" s="37" t="s">
        <v>159</v>
      </c>
      <c r="LA17" s="37" t="s">
        <v>160</v>
      </c>
      <c r="LB17" s="57" t="s">
        <v>161</v>
      </c>
      <c r="LC17" s="37" t="s">
        <v>162</v>
      </c>
      <c r="LD17" s="58" t="s">
        <v>163</v>
      </c>
      <c r="LE17" s="12"/>
      <c r="LF17" s="59" t="s">
        <v>164</v>
      </c>
    </row>
    <row r="18" spans="1:318" x14ac:dyDescent="0.25">
      <c r="A18" s="36" t="s">
        <v>165</v>
      </c>
      <c r="B18" s="37" t="s">
        <v>166</v>
      </c>
      <c r="C18" s="37" t="str">
        <f>INDEX('[1]Property Summary'!AB:AB,MATCH($A18,'[1]Property Summary'!$F:$F,FALSE))</f>
        <v>Vault Portfolio</v>
      </c>
      <c r="D18" s="38"/>
      <c r="E18" s="39">
        <v>285200</v>
      </c>
      <c r="F18" s="39">
        <v>281800</v>
      </c>
      <c r="G18" s="39">
        <v>275200</v>
      </c>
      <c r="H18" s="39">
        <v>287000</v>
      </c>
      <c r="I18" s="39">
        <v>297600</v>
      </c>
      <c r="J18" s="39">
        <v>303400</v>
      </c>
      <c r="K18" s="39">
        <v>284300</v>
      </c>
      <c r="L18" s="39">
        <f>S18-SUM(I18:K18)</f>
        <v>301190</v>
      </c>
      <c r="M18" s="39">
        <v>297760</v>
      </c>
      <c r="N18" s="39">
        <v>302086</v>
      </c>
      <c r="O18" s="39">
        <v>288200</v>
      </c>
      <c r="P18" s="39">
        <v>293100</v>
      </c>
      <c r="R18" s="39">
        <f>SUM(E18:H18)</f>
        <v>1129200</v>
      </c>
      <c r="S18" s="39">
        <v>1186490</v>
      </c>
      <c r="T18" s="39">
        <f>SUM(M18:P18)</f>
        <v>1181146</v>
      </c>
      <c r="V18" s="40">
        <f>SUM(M18:P18)</f>
        <v>1181146</v>
      </c>
      <c r="W18" s="41">
        <v>78100</v>
      </c>
      <c r="X18" s="39">
        <v>78700</v>
      </c>
      <c r="Y18" s="39">
        <v>77700</v>
      </c>
      <c r="Z18" s="39">
        <v>87800</v>
      </c>
      <c r="AA18" s="39">
        <v>105800</v>
      </c>
      <c r="AB18" s="39">
        <v>107000</v>
      </c>
      <c r="AC18" s="39">
        <v>96100</v>
      </c>
      <c r="AD18" s="39">
        <f>AK18-SUM(AA18:AC18)</f>
        <v>111330</v>
      </c>
      <c r="AE18" s="39">
        <v>109190</v>
      </c>
      <c r="AF18" s="39">
        <v>110613</v>
      </c>
      <c r="AG18" s="39">
        <v>102700</v>
      </c>
      <c r="AH18" s="39">
        <f>104800</f>
        <v>104800</v>
      </c>
      <c r="AJ18" s="39">
        <f>SUM(W18:Z18)</f>
        <v>322300</v>
      </c>
      <c r="AK18" s="39">
        <v>420230</v>
      </c>
      <c r="AL18" s="39">
        <f>SUM(AE18:AH18)</f>
        <v>427303</v>
      </c>
      <c r="AN18" s="40">
        <f>SUM(AE18:AH18)</f>
        <v>427303</v>
      </c>
      <c r="AO18" s="42">
        <f t="shared" si="0"/>
        <v>0.27384291725105192</v>
      </c>
      <c r="AP18" s="43">
        <f t="shared" si="0"/>
        <v>0.27927608232789214</v>
      </c>
      <c r="AQ18" s="43">
        <f t="shared" si="0"/>
        <v>0.28234011627906974</v>
      </c>
      <c r="AR18" s="43">
        <f t="shared" si="0"/>
        <v>0.30592334494773521</v>
      </c>
      <c r="AS18" s="43">
        <f t="shared" si="0"/>
        <v>0.35551075268817206</v>
      </c>
      <c r="AT18" s="43">
        <f t="shared" si="0"/>
        <v>0.35266974291364533</v>
      </c>
      <c r="AU18" s="43">
        <f t="shared" si="0"/>
        <v>0.33802321491382342</v>
      </c>
      <c r="AV18" s="43">
        <f t="shared" si="0"/>
        <v>0.36963378598227031</v>
      </c>
      <c r="AW18" s="43">
        <f t="shared" si="0"/>
        <v>0.36670472864051584</v>
      </c>
      <c r="AX18" s="43">
        <f t="shared" si="0"/>
        <v>0.36616394007004627</v>
      </c>
      <c r="AY18" s="43">
        <f t="shared" si="0"/>
        <v>0.35634975711311589</v>
      </c>
      <c r="AZ18" s="43">
        <f t="shared" si="0"/>
        <v>0.35755714773114977</v>
      </c>
      <c r="BA18" s="43"/>
      <c r="BB18" s="43">
        <f t="shared" si="1"/>
        <v>0.28542330853701736</v>
      </c>
      <c r="BC18" s="43">
        <f t="shared" si="1"/>
        <v>0.3541791334103111</v>
      </c>
      <c r="BD18" s="43">
        <f t="shared" si="1"/>
        <v>0.36176984047696054</v>
      </c>
      <c r="BE18" s="43"/>
      <c r="BF18" s="44">
        <f t="shared" si="2"/>
        <v>0.36176984047696054</v>
      </c>
      <c r="BG18" s="41">
        <v>21200</v>
      </c>
      <c r="BH18" s="39">
        <v>18900</v>
      </c>
      <c r="BI18" s="39">
        <v>20800</v>
      </c>
      <c r="BJ18" s="39">
        <v>20600</v>
      </c>
      <c r="BK18" s="39">
        <v>14700</v>
      </c>
      <c r="BL18" s="39">
        <v>15400</v>
      </c>
      <c r="BM18" s="39">
        <v>17500</v>
      </c>
      <c r="BN18" s="39">
        <f>BU18-SUM(BK18:BM18)</f>
        <v>14593</v>
      </c>
      <c r="BO18" s="39">
        <v>16295</v>
      </c>
      <c r="BP18" s="39">
        <v>16393</v>
      </c>
      <c r="BQ18" s="39">
        <v>16100</v>
      </c>
      <c r="BR18" s="39">
        <v>14700</v>
      </c>
      <c r="BT18" s="39">
        <f>SUM(BG18:BJ18)</f>
        <v>81500</v>
      </c>
      <c r="BU18" s="39">
        <v>62193</v>
      </c>
      <c r="BV18" s="39">
        <f>SUM(BO18:BR18)</f>
        <v>63488</v>
      </c>
      <c r="BX18" s="40">
        <f>SUM(BO18:BR18)</f>
        <v>63488</v>
      </c>
      <c r="BY18" s="41">
        <f>BZ18</f>
        <v>5073</v>
      </c>
      <c r="BZ18" s="39">
        <f>CA18</f>
        <v>5073</v>
      </c>
      <c r="CA18" s="39">
        <f>CB18</f>
        <v>5073</v>
      </c>
      <c r="CB18" s="39">
        <v>5073</v>
      </c>
      <c r="CC18" s="39">
        <f>CD18</f>
        <v>5857.25</v>
      </c>
      <c r="CD18" s="39">
        <f>CE18</f>
        <v>5857.25</v>
      </c>
      <c r="CE18" s="39">
        <f>CF18</f>
        <v>5857.25</v>
      </c>
      <c r="CF18" s="39">
        <f>CM18/4</f>
        <v>5857.25</v>
      </c>
      <c r="CG18" s="67">
        <f t="shared" si="43"/>
        <v>6394.25</v>
      </c>
      <c r="CH18" s="67">
        <f t="shared" si="43"/>
        <v>6394.25</v>
      </c>
      <c r="CI18" s="67">
        <f t="shared" si="43"/>
        <v>6394.25</v>
      </c>
      <c r="CJ18" s="67">
        <f>$CN$18/4</f>
        <v>6394.25</v>
      </c>
      <c r="CK18" s="67"/>
      <c r="CL18" s="39">
        <f>20291+406</f>
        <v>20697</v>
      </c>
      <c r="CM18" s="39">
        <f>23346+83</f>
        <v>23429</v>
      </c>
      <c r="CN18" s="39">
        <v>25577</v>
      </c>
      <c r="CP18" s="40">
        <f>SUM(CF18:CI18)</f>
        <v>25040</v>
      </c>
      <c r="CQ18" s="41">
        <f t="shared" si="3"/>
        <v>83173</v>
      </c>
      <c r="CR18" s="39">
        <f t="shared" si="3"/>
        <v>83773</v>
      </c>
      <c r="CS18" s="39">
        <f t="shared" si="3"/>
        <v>82773</v>
      </c>
      <c r="CT18" s="39">
        <f t="shared" si="3"/>
        <v>92873</v>
      </c>
      <c r="CU18" s="39">
        <f t="shared" si="3"/>
        <v>111657.25</v>
      </c>
      <c r="CV18" s="39">
        <f t="shared" si="3"/>
        <v>112857.25</v>
      </c>
      <c r="CW18" s="39">
        <f t="shared" si="3"/>
        <v>101957.25</v>
      </c>
      <c r="CX18" s="39">
        <f t="shared" si="3"/>
        <v>117187.25</v>
      </c>
      <c r="CY18" s="39">
        <f t="shared" si="3"/>
        <v>115584.25</v>
      </c>
      <c r="CZ18" s="39">
        <f t="shared" si="3"/>
        <v>117007.25</v>
      </c>
      <c r="DA18" s="39">
        <f t="shared" si="3"/>
        <v>109094.25</v>
      </c>
      <c r="DB18" s="39">
        <f t="shared" si="3"/>
        <v>111194.25</v>
      </c>
      <c r="DD18" s="39">
        <f t="shared" si="4"/>
        <v>342997</v>
      </c>
      <c r="DE18" s="39">
        <f t="shared" si="4"/>
        <v>443659</v>
      </c>
      <c r="DF18" s="39">
        <f t="shared" si="4"/>
        <v>452880</v>
      </c>
      <c r="DH18" s="39">
        <f t="shared" si="5"/>
        <v>452343</v>
      </c>
      <c r="DL18" s="39">
        <f>DV18</f>
        <v>102303</v>
      </c>
      <c r="DO18" s="39">
        <f>11614+113402</f>
        <v>125016</v>
      </c>
      <c r="DP18" s="39">
        <f>DW18</f>
        <v>129616</v>
      </c>
      <c r="DQ18" s="39">
        <f>12284+116504</f>
        <v>128788</v>
      </c>
      <c r="DR18" s="39">
        <f>12552+112247</f>
        <v>124799</v>
      </c>
      <c r="DS18" s="39">
        <f>12800+110500</f>
        <v>123300</v>
      </c>
      <c r="DT18" s="39">
        <f>13029+107884</f>
        <v>120913</v>
      </c>
      <c r="DV18" s="39">
        <f>10068+92235</f>
        <v>102303</v>
      </c>
      <c r="DW18" s="39">
        <f>12131+117485</f>
        <v>129616</v>
      </c>
      <c r="DX18" s="39">
        <f>DT18</f>
        <v>120913</v>
      </c>
      <c r="DZ18" s="40">
        <f>DX18</f>
        <v>120913</v>
      </c>
      <c r="EA18" s="45"/>
      <c r="EB18" s="46"/>
      <c r="EC18" s="46"/>
      <c r="ED18" s="46">
        <f>EN18</f>
        <v>690267</v>
      </c>
      <c r="EE18" s="46"/>
      <c r="EF18" s="46"/>
      <c r="EG18" s="46">
        <f>3342+9132+1801+364419+112757+68384+135856</f>
        <v>695691</v>
      </c>
      <c r="EH18" s="46">
        <f>3407+9535+1919+364836+111945+67679+135521</f>
        <v>694842</v>
      </c>
      <c r="EI18" s="46">
        <f>3473+9947+2041+365251+111144+68019+135118</f>
        <v>694993</v>
      </c>
      <c r="EJ18" s="46">
        <f>3669+10324+2167+365680+108517+73833+134707</f>
        <v>698897</v>
      </c>
      <c r="EK18" s="46">
        <f>3700+10400+2300+366100+107700+65200+134300</f>
        <v>689700</v>
      </c>
      <c r="EL18" s="46">
        <f>4077+10703+2429+136741+90839+64140+133781</f>
        <v>442710</v>
      </c>
      <c r="EM18" s="46"/>
      <c r="EN18" s="46">
        <f>3759+7637+1466+115855+363215+61676+136659</f>
        <v>690267</v>
      </c>
      <c r="EO18" s="46">
        <f>EH18</f>
        <v>694842</v>
      </c>
      <c r="EP18" s="46">
        <f>EL18</f>
        <v>442710</v>
      </c>
      <c r="EQ18" s="46"/>
      <c r="ER18" s="40">
        <f>EP18</f>
        <v>442710</v>
      </c>
      <c r="ES18" s="45" t="str">
        <f t="shared" si="7"/>
        <v/>
      </c>
      <c r="ET18" s="46" t="str">
        <f t="shared" si="7"/>
        <v/>
      </c>
      <c r="EU18" s="46" t="str">
        <f t="shared" si="7"/>
        <v/>
      </c>
      <c r="EV18" s="46">
        <f t="shared" si="7"/>
        <v>792570</v>
      </c>
      <c r="EW18" s="46" t="str">
        <f t="shared" si="7"/>
        <v/>
      </c>
      <c r="EX18" s="46" t="str">
        <f t="shared" si="7"/>
        <v/>
      </c>
      <c r="EY18" s="46">
        <f t="shared" si="7"/>
        <v>820707</v>
      </c>
      <c r="EZ18" s="46">
        <f t="shared" si="7"/>
        <v>824458</v>
      </c>
      <c r="FA18" s="46">
        <f t="shared" si="7"/>
        <v>823781</v>
      </c>
      <c r="FB18" s="46">
        <f t="shared" si="7"/>
        <v>823696</v>
      </c>
      <c r="FC18" s="46">
        <f t="shared" si="7"/>
        <v>813000</v>
      </c>
      <c r="FD18" s="46">
        <f t="shared" si="7"/>
        <v>563623</v>
      </c>
      <c r="FE18" s="46"/>
      <c r="FF18" s="46">
        <f t="shared" si="9"/>
        <v>792570</v>
      </c>
      <c r="FG18" s="46">
        <f t="shared" si="9"/>
        <v>824458</v>
      </c>
      <c r="FH18" s="46">
        <f t="shared" si="9"/>
        <v>563623</v>
      </c>
      <c r="FI18" s="46"/>
      <c r="FJ18" s="46">
        <f t="shared" si="10"/>
        <v>563623</v>
      </c>
      <c r="FK18" s="45"/>
      <c r="FL18" s="46"/>
      <c r="FM18" s="46"/>
      <c r="FN18" s="46">
        <v>201372</v>
      </c>
      <c r="FO18" s="46"/>
      <c r="FP18" s="46"/>
      <c r="FQ18" s="46">
        <v>237666</v>
      </c>
      <c r="FR18" s="46">
        <v>238803</v>
      </c>
      <c r="FS18" s="46">
        <v>328452</v>
      </c>
      <c r="FT18" s="46">
        <v>392580</v>
      </c>
      <c r="FU18" s="46">
        <v>449200</v>
      </c>
      <c r="FV18" s="46">
        <v>255535</v>
      </c>
      <c r="FW18" s="46"/>
      <c r="FX18" s="46">
        <v>201372</v>
      </c>
      <c r="FY18" s="46">
        <f>FR18</f>
        <v>238803</v>
      </c>
      <c r="FZ18" s="46">
        <f>FV18</f>
        <v>255535</v>
      </c>
      <c r="GA18" s="46"/>
      <c r="GB18" s="40">
        <f>FZ18</f>
        <v>255535</v>
      </c>
      <c r="GC18" s="45"/>
      <c r="GD18" s="46"/>
      <c r="GE18" s="46"/>
      <c r="GF18" s="46"/>
      <c r="GG18" s="46">
        <f>210500-GH18</f>
        <v>139200</v>
      </c>
      <c r="GH18" s="46">
        <v>71300</v>
      </c>
      <c r="GI18" s="46">
        <f>271500-GJ18-GH18-GG18</f>
        <v>30300</v>
      </c>
      <c r="GJ18" s="46">
        <v>30700</v>
      </c>
      <c r="GK18" s="46">
        <f>(136.8*1000)-GL18</f>
        <v>50700</v>
      </c>
      <c r="GL18" s="46">
        <v>86100</v>
      </c>
      <c r="GM18" s="46">
        <v>76800</v>
      </c>
      <c r="GN18" s="46">
        <f>272821-GM18-GL18-GK18</f>
        <v>59221</v>
      </c>
      <c r="GO18" s="46"/>
      <c r="GP18" s="46">
        <v>201841</v>
      </c>
      <c r="GQ18" s="46">
        <v>271484</v>
      </c>
      <c r="GR18" s="46">
        <f>SUM(GK18:GN18)</f>
        <v>272821</v>
      </c>
      <c r="GS18" s="46"/>
      <c r="GT18" s="40">
        <f>SUM(GK18:GN18)</f>
        <v>272821</v>
      </c>
      <c r="GU18" s="45"/>
      <c r="GV18" s="46"/>
      <c r="GW18" s="46"/>
      <c r="GX18" s="46"/>
      <c r="GY18" s="46">
        <f>(41.8+11.5)*1000-GZ18</f>
        <v>20500</v>
      </c>
      <c r="GZ18" s="46">
        <f>(26.3+6.5)*1000</f>
        <v>32800</v>
      </c>
      <c r="HA18" s="46">
        <f>121500+25100-HB18-GZ18-GY18</f>
        <v>44000</v>
      </c>
      <c r="HB18" s="46">
        <f>42500+6800</f>
        <v>49300</v>
      </c>
      <c r="HC18" s="46">
        <f>(28.5+8.4)*1000-HD18</f>
        <v>20900</v>
      </c>
      <c r="HD18" s="46">
        <f>(11.6+4.4)*1000</f>
        <v>16000</v>
      </c>
      <c r="HE18" s="46">
        <f>12300+4300</f>
        <v>16600</v>
      </c>
      <c r="HF18" s="46">
        <f>44193+16317-HE18-HC18-HD18</f>
        <v>7010</v>
      </c>
      <c r="HG18" s="46"/>
      <c r="HH18" s="46">
        <v>40385</v>
      </c>
      <c r="HI18" s="46">
        <v>121520</v>
      </c>
      <c r="HJ18" s="46">
        <f>SUM(HC18:HF18)</f>
        <v>60510</v>
      </c>
      <c r="HK18" s="46"/>
      <c r="HL18" s="40">
        <f>SUM(HC18:HF18)</f>
        <v>60510</v>
      </c>
      <c r="HM18" s="45" t="str">
        <f t="shared" si="11"/>
        <v/>
      </c>
      <c r="HN18" s="46" t="str">
        <f t="shared" si="11"/>
        <v/>
      </c>
      <c r="HO18" s="46" t="str">
        <f t="shared" si="11"/>
        <v/>
      </c>
      <c r="HP18" s="46" t="str">
        <f t="shared" si="11"/>
        <v/>
      </c>
      <c r="HQ18" s="46">
        <f t="shared" si="11"/>
        <v>118700</v>
      </c>
      <c r="HR18" s="46">
        <f t="shared" si="11"/>
        <v>38500</v>
      </c>
      <c r="HS18" s="46">
        <f t="shared" si="11"/>
        <v>-13700</v>
      </c>
      <c r="HT18" s="46">
        <f t="shared" si="11"/>
        <v>-18600</v>
      </c>
      <c r="HU18" s="46">
        <f t="shared" si="11"/>
        <v>29800</v>
      </c>
      <c r="HV18" s="46">
        <f t="shared" si="11"/>
        <v>70100</v>
      </c>
      <c r="HW18" s="46">
        <f t="shared" si="11"/>
        <v>60200</v>
      </c>
      <c r="HX18" s="46">
        <f t="shared" si="11"/>
        <v>52211</v>
      </c>
      <c r="HY18" s="46"/>
      <c r="HZ18" s="46">
        <f t="shared" si="12"/>
        <v>161456</v>
      </c>
      <c r="IA18" s="46">
        <f t="shared" si="12"/>
        <v>149964</v>
      </c>
      <c r="IB18" s="46">
        <f t="shared" si="12"/>
        <v>212311</v>
      </c>
      <c r="IC18" s="46"/>
      <c r="ID18" s="46">
        <f t="shared" si="13"/>
        <v>212311</v>
      </c>
      <c r="IE18" s="47">
        <f t="shared" si="14"/>
        <v>3.1657214630989992</v>
      </c>
      <c r="IF18" s="48">
        <f t="shared" si="14"/>
        <v>3.4944729487339923</v>
      </c>
      <c r="IG18" s="48">
        <f t="shared" si="14"/>
        <v>3.1992038031925172</v>
      </c>
      <c r="IH18" s="48">
        <f t="shared" si="14"/>
        <v>3.6175359326919332</v>
      </c>
      <c r="II18" s="48">
        <f t="shared" si="14"/>
        <v>5.4315265903756584</v>
      </c>
      <c r="IJ18" s="48">
        <f t="shared" si="14"/>
        <v>5.3091180656011474</v>
      </c>
      <c r="IK18" s="48">
        <f t="shared" si="14"/>
        <v>4.3651221783386314</v>
      </c>
      <c r="IL18" s="48">
        <f t="shared" si="14"/>
        <v>5.7303578195865574</v>
      </c>
      <c r="IM18" s="48">
        <f t="shared" si="14"/>
        <v>5.0942296461980892</v>
      </c>
      <c r="IN18" s="48">
        <f t="shared" si="14"/>
        <v>5.1347683463340248</v>
      </c>
      <c r="IO18" s="48">
        <f t="shared" si="14"/>
        <v>4.8498727452571213</v>
      </c>
      <c r="IP18" s="48">
        <f t="shared" si="14"/>
        <v>5.2713061616317241</v>
      </c>
      <c r="IQ18" s="48"/>
      <c r="IR18" s="48">
        <f t="shared" si="15"/>
        <v>3.3562335489300077</v>
      </c>
      <c r="IS18" s="48">
        <f t="shared" si="15"/>
        <v>5.1816005232300109</v>
      </c>
      <c r="IT18" s="48">
        <f t="shared" si="15"/>
        <v>5.0848256891034636</v>
      </c>
      <c r="IU18" s="48"/>
      <c r="IV18" s="48">
        <f t="shared" si="16"/>
        <v>5.1096037411892281</v>
      </c>
      <c r="IW18" s="47">
        <f t="shared" si="17"/>
        <v>0</v>
      </c>
      <c r="IX18" s="48">
        <f t="shared" si="17"/>
        <v>0</v>
      </c>
      <c r="IY18" s="48">
        <f t="shared" si="17"/>
        <v>0</v>
      </c>
      <c r="IZ18" s="48">
        <f t="shared" si="17"/>
        <v>1.9654527334851937</v>
      </c>
      <c r="JA18" s="48">
        <f t="shared" si="17"/>
        <v>0</v>
      </c>
      <c r="JB18" s="48">
        <f t="shared" si="17"/>
        <v>0</v>
      </c>
      <c r="JC18" s="48">
        <f t="shared" si="17"/>
        <v>1.8098100936524453</v>
      </c>
      <c r="JD18" s="48">
        <f t="shared" si="17"/>
        <v>1.5603206682834816</v>
      </c>
      <c r="JE18" s="48">
        <f t="shared" si="17"/>
        <v>1.591246909057606</v>
      </c>
      <c r="JF18" s="48">
        <f t="shared" si="17"/>
        <v>1.5795995949843147</v>
      </c>
      <c r="JG18" s="48">
        <f t="shared" si="17"/>
        <v>1.678919182083739</v>
      </c>
      <c r="JH18" s="48">
        <f t="shared" si="17"/>
        <v>1.0560830152671756</v>
      </c>
      <c r="JI18" s="48"/>
      <c r="JJ18" s="48">
        <f t="shared" si="18"/>
        <v>2.1416909711448961</v>
      </c>
      <c r="JK18" s="48">
        <f t="shared" si="18"/>
        <v>1.6534802370130643</v>
      </c>
      <c r="JL18" s="48">
        <f t="shared" si="18"/>
        <v>1.036056381537223</v>
      </c>
      <c r="JM18" s="48"/>
      <c r="JN18" s="48">
        <f t="shared" si="19"/>
        <v>1.036056381537223</v>
      </c>
      <c r="JO18" s="47" t="str">
        <f t="shared" si="20"/>
        <v/>
      </c>
      <c r="JP18" s="48" t="str">
        <f t="shared" si="20"/>
        <v/>
      </c>
      <c r="JQ18" s="48" t="str">
        <f t="shared" si="20"/>
        <v/>
      </c>
      <c r="JR18" s="48">
        <f t="shared" si="20"/>
        <v>2.1334779752996025</v>
      </c>
      <c r="JS18" s="48" t="str">
        <f t="shared" si="20"/>
        <v/>
      </c>
      <c r="JT18" s="48" t="str">
        <f t="shared" si="20"/>
        <v/>
      </c>
      <c r="JU18" s="48">
        <f t="shared" si="20"/>
        <v>2.0123801887555812</v>
      </c>
      <c r="JV18" s="48">
        <f t="shared" si="20"/>
        <v>1.7588474855413025</v>
      </c>
      <c r="JW18" s="48">
        <f t="shared" si="20"/>
        <v>1.7817760637803162</v>
      </c>
      <c r="JX18" s="48">
        <f t="shared" si="20"/>
        <v>1.7599251328443324</v>
      </c>
      <c r="JY18" s="48">
        <f t="shared" si="20"/>
        <v>1.863067943544229</v>
      </c>
      <c r="JZ18" s="48">
        <f t="shared" si="20"/>
        <v>1.2672035649325393</v>
      </c>
      <c r="KA18" s="48"/>
      <c r="KB18" s="48">
        <f t="shared" si="44"/>
        <v>0.57767997970827734</v>
      </c>
      <c r="KC18" s="48">
        <f t="shared" si="44"/>
        <v>0.46457865162207912</v>
      </c>
      <c r="KD18" s="48">
        <f t="shared" si="44"/>
        <v>0.31113263999293411</v>
      </c>
      <c r="KE18" s="48"/>
      <c r="KF18" s="48">
        <f t="shared" si="23"/>
        <v>1.2460080071980775</v>
      </c>
      <c r="KG18" s="49">
        <f t="shared" si="24"/>
        <v>1181146</v>
      </c>
      <c r="KH18" s="50">
        <f t="shared" si="35"/>
        <v>-4.5040413319960004E-3</v>
      </c>
      <c r="KI18" s="49">
        <f t="shared" si="25"/>
        <v>427303</v>
      </c>
      <c r="KJ18" s="50">
        <f t="shared" si="36"/>
        <v>1.6831259072412674E-2</v>
      </c>
      <c r="KK18" s="51">
        <f t="shared" si="26"/>
        <v>0.36176984047696054</v>
      </c>
      <c r="KL18" s="52">
        <f t="shared" si="27"/>
        <v>563623</v>
      </c>
      <c r="KM18" s="52">
        <f t="shared" si="28"/>
        <v>255535</v>
      </c>
      <c r="KN18" s="52">
        <f t="shared" si="29"/>
        <v>272821</v>
      </c>
      <c r="KO18" s="53">
        <f t="shared" si="30"/>
        <v>5.1096037411892281</v>
      </c>
      <c r="KP18" s="54">
        <f t="shared" si="37"/>
        <v>5.1816005232300109</v>
      </c>
      <c r="KQ18" s="53">
        <f t="shared" si="31"/>
        <v>1.036056381537223</v>
      </c>
      <c r="KR18" s="54">
        <f t="shared" si="38"/>
        <v>1.6534802370130643</v>
      </c>
      <c r="KS18" s="53">
        <f t="shared" si="32"/>
        <v>1.2460080071980775</v>
      </c>
      <c r="KT18" s="54">
        <f t="shared" si="39"/>
        <v>0.46457865162207912</v>
      </c>
      <c r="KU18" s="55" t="s">
        <v>65</v>
      </c>
      <c r="KV18" s="68">
        <v>1</v>
      </c>
      <c r="KW18" s="37" t="s">
        <v>66</v>
      </c>
      <c r="KY18" s="37" t="s">
        <v>91</v>
      </c>
      <c r="KZ18" s="37" t="s">
        <v>113</v>
      </c>
      <c r="LA18" s="37" t="s">
        <v>160</v>
      </c>
      <c r="LB18" s="57" t="s">
        <v>113</v>
      </c>
      <c r="LC18" s="37" t="s">
        <v>167</v>
      </c>
      <c r="LD18" s="58"/>
      <c r="LE18" s="12"/>
      <c r="LF18" s="59" t="s">
        <v>168</v>
      </c>
    </row>
    <row r="19" spans="1:318" x14ac:dyDescent="0.25">
      <c r="A19" s="36" t="s">
        <v>169</v>
      </c>
      <c r="B19" s="37" t="s">
        <v>170</v>
      </c>
      <c r="C19" s="37" t="str">
        <f>INDEX('[1]Property Summary'!AB:AB,MATCH($A19,'[1]Property Summary'!$F:$F,FALSE))</f>
        <v>PAK Tampa</v>
      </c>
      <c r="D19" s="38"/>
      <c r="I19" s="39">
        <v>72465</v>
      </c>
      <c r="J19" s="39">
        <f>152802-I19</f>
        <v>80337</v>
      </c>
      <c r="K19" s="39">
        <f>231622-J19-I19</f>
        <v>78820</v>
      </c>
      <c r="L19" s="39">
        <f>S19-SUM(I19:K19)</f>
        <v>72619.891000000003</v>
      </c>
      <c r="M19" s="39">
        <v>70677</v>
      </c>
      <c r="N19" s="39">
        <f>155221-M19</f>
        <v>84544</v>
      </c>
      <c r="O19" s="39">
        <f>236244-N19-M19</f>
        <v>81023</v>
      </c>
      <c r="P19" s="39">
        <f>T19-SUM(M19:O19)</f>
        <v>73112</v>
      </c>
      <c r="R19" s="39">
        <v>290524</v>
      </c>
      <c r="S19" s="39">
        <v>304241.891</v>
      </c>
      <c r="T19" s="39">
        <v>309356</v>
      </c>
      <c r="V19" s="40">
        <f>SUM(M19:P19)</f>
        <v>309356</v>
      </c>
      <c r="AA19" s="39">
        <f>2954+116+1871</f>
        <v>4941</v>
      </c>
      <c r="AB19" s="39">
        <f>(8612+234+5727)-AA19</f>
        <v>9632</v>
      </c>
      <c r="AC19" s="39">
        <f>(14939+247+7256)-AB19-AA19</f>
        <v>7869</v>
      </c>
      <c r="AD19" s="39">
        <f>AK19-SUM(AA19:AC19)</f>
        <v>4959.005000000001</v>
      </c>
      <c r="AE19" s="39">
        <f>-38+2569+39</f>
        <v>2570</v>
      </c>
      <c r="AF19" s="39">
        <f>8709+97+5106-AE19</f>
        <v>11342</v>
      </c>
      <c r="AG19" s="39">
        <f>15015+191+7693-AF19-AE19</f>
        <v>8987</v>
      </c>
      <c r="AH19" s="39">
        <f>AL19-AG19-AF19-AE19</f>
        <v>3640</v>
      </c>
      <c r="AJ19" s="39">
        <f>11597+7220</f>
        <v>18817</v>
      </c>
      <c r="AK19" s="39">
        <f>17498.223+9902.782</f>
        <v>27401.005000000001</v>
      </c>
      <c r="AL19" s="39">
        <f>15526+6+328+10679</f>
        <v>26539</v>
      </c>
      <c r="AN19" s="40">
        <f>SUM(AE19:AH19)</f>
        <v>26539</v>
      </c>
      <c r="AO19" s="42" t="str">
        <f t="shared" si="0"/>
        <v/>
      </c>
      <c r="AP19" s="43" t="str">
        <f t="shared" si="0"/>
        <v/>
      </c>
      <c r="AQ19" s="43" t="str">
        <f t="shared" si="0"/>
        <v/>
      </c>
      <c r="AR19" s="43" t="str">
        <f t="shared" si="0"/>
        <v/>
      </c>
      <c r="AS19" s="43">
        <f t="shared" si="0"/>
        <v>6.8184640861105358E-2</v>
      </c>
      <c r="AT19" s="43">
        <f t="shared" si="0"/>
        <v>0.11989494255448921</v>
      </c>
      <c r="AU19" s="43">
        <f t="shared" si="0"/>
        <v>9.9835067241816802E-2</v>
      </c>
      <c r="AV19" s="43">
        <f t="shared" si="0"/>
        <v>6.8287144633692731E-2</v>
      </c>
      <c r="AW19" s="43">
        <f t="shared" si="0"/>
        <v>3.6362607354584943E-2</v>
      </c>
      <c r="AX19" s="43">
        <f t="shared" si="0"/>
        <v>0.13415499621498864</v>
      </c>
      <c r="AY19" s="43">
        <f t="shared" si="0"/>
        <v>0.11091912173086654</v>
      </c>
      <c r="AZ19" s="43">
        <f t="shared" si="0"/>
        <v>4.9786628733997154E-2</v>
      </c>
      <c r="BA19" s="43"/>
      <c r="BB19" s="43">
        <f t="shared" si="1"/>
        <v>6.4769175696328007E-2</v>
      </c>
      <c r="BC19" s="43">
        <f t="shared" si="1"/>
        <v>9.006322209586845E-2</v>
      </c>
      <c r="BD19" s="43">
        <f t="shared" si="1"/>
        <v>8.5787894852532354E-2</v>
      </c>
      <c r="BE19" s="43"/>
      <c r="BF19" s="44">
        <f t="shared" si="2"/>
        <v>8.5787894852532354E-2</v>
      </c>
      <c r="BK19" s="39">
        <v>116</v>
      </c>
      <c r="BL19" s="39">
        <f>234-BK19</f>
        <v>118</v>
      </c>
      <c r="BM19" s="39">
        <f>247-BL19-BK19</f>
        <v>13</v>
      </c>
      <c r="BN19" s="39">
        <f>BU19-SUM(BK19:BM19)</f>
        <v>-12</v>
      </c>
      <c r="BO19" s="39">
        <v>39</v>
      </c>
      <c r="BP19" s="39">
        <f>97-BO19</f>
        <v>58</v>
      </c>
      <c r="BQ19" s="39">
        <f>191-BP19-BO19</f>
        <v>94</v>
      </c>
      <c r="BR19" s="39">
        <f>BV19-BQ19-BP19-BO19</f>
        <v>137</v>
      </c>
      <c r="BT19" s="39">
        <v>2633</v>
      </c>
      <c r="BU19" s="39">
        <v>235</v>
      </c>
      <c r="BV19" s="39">
        <v>328</v>
      </c>
      <c r="BX19" s="40">
        <f>SUM(BO19:BR19)</f>
        <v>328</v>
      </c>
      <c r="CC19" s="39">
        <f t="shared" ref="CC19:CJ19" si="45">$CM19/4</f>
        <v>1537.9855</v>
      </c>
      <c r="CD19" s="39">
        <f t="shared" si="45"/>
        <v>1537.9855</v>
      </c>
      <c r="CE19" s="39">
        <f t="shared" si="45"/>
        <v>1537.9855</v>
      </c>
      <c r="CF19" s="39">
        <f t="shared" si="45"/>
        <v>1537.9855</v>
      </c>
      <c r="CG19" s="39">
        <f t="shared" si="45"/>
        <v>1537.9855</v>
      </c>
      <c r="CH19" s="39">
        <f t="shared" si="45"/>
        <v>1537.9855</v>
      </c>
      <c r="CI19" s="39">
        <f t="shared" si="45"/>
        <v>1537.9855</v>
      </c>
      <c r="CJ19" s="39">
        <f t="shared" si="45"/>
        <v>1537.9855</v>
      </c>
      <c r="CL19" s="71">
        <f>DV19/(DW19/CM19)</f>
        <v>6400.5355211995084</v>
      </c>
      <c r="CM19" s="39">
        <f>6151.942</f>
        <v>6151.942</v>
      </c>
      <c r="CN19" s="39">
        <f>SUM(CG19:CJ19)</f>
        <v>6151.942</v>
      </c>
      <c r="CP19" s="40">
        <f>SUM(CF19:CI19)</f>
        <v>6151.942</v>
      </c>
      <c r="CQ19" s="41" t="str">
        <f t="shared" si="3"/>
        <v/>
      </c>
      <c r="CR19" s="39" t="str">
        <f t="shared" si="3"/>
        <v/>
      </c>
      <c r="CS19" s="39" t="str">
        <f t="shared" si="3"/>
        <v/>
      </c>
      <c r="CT19" s="39" t="str">
        <f t="shared" si="3"/>
        <v/>
      </c>
      <c r="CU19" s="39">
        <f t="shared" si="3"/>
        <v>6478.9854999999998</v>
      </c>
      <c r="CV19" s="39">
        <f t="shared" si="3"/>
        <v>11169.985500000001</v>
      </c>
      <c r="CW19" s="39">
        <f t="shared" si="3"/>
        <v>9406.9855000000007</v>
      </c>
      <c r="CX19" s="39">
        <f t="shared" si="3"/>
        <v>6496.9905000000008</v>
      </c>
      <c r="CY19" s="39">
        <f t="shared" si="3"/>
        <v>4107.9854999999998</v>
      </c>
      <c r="CZ19" s="39">
        <f t="shared" si="3"/>
        <v>12879.985500000001</v>
      </c>
      <c r="DA19" s="39">
        <f t="shared" si="3"/>
        <v>10524.985500000001</v>
      </c>
      <c r="DB19" s="39">
        <f t="shared" si="3"/>
        <v>5177.9854999999998</v>
      </c>
      <c r="DD19" s="39">
        <f t="shared" si="4"/>
        <v>25217.535521199508</v>
      </c>
      <c r="DE19" s="39">
        <f t="shared" si="4"/>
        <v>33552.947</v>
      </c>
      <c r="DF19" s="39">
        <f t="shared" si="4"/>
        <v>32690.941999999999</v>
      </c>
      <c r="DH19" s="39">
        <f t="shared" si="5"/>
        <v>32690.941999999999</v>
      </c>
      <c r="DM19" s="39">
        <f>3603+79507</f>
        <v>83110</v>
      </c>
      <c r="DN19" s="39">
        <f>-2062+64808</f>
        <v>62746</v>
      </c>
      <c r="DO19" s="39">
        <f>2062+64294</f>
        <v>66356</v>
      </c>
      <c r="DP19" s="39">
        <f>2288+63539</f>
        <v>65827</v>
      </c>
      <c r="DQ19" s="39">
        <f>2288+62967</f>
        <v>65255</v>
      </c>
      <c r="DR19" s="39">
        <f>2288+62404</f>
        <v>64692</v>
      </c>
      <c r="DS19" s="39">
        <f>2305+61907</f>
        <v>64212</v>
      </c>
      <c r="DT19" s="39">
        <f>61084+2536</f>
        <v>63620</v>
      </c>
      <c r="DV19" s="39">
        <f>2288+66199</f>
        <v>68487</v>
      </c>
      <c r="DW19" s="39">
        <f>DP19</f>
        <v>65827</v>
      </c>
      <c r="DX19" s="39">
        <f>DT19</f>
        <v>63620</v>
      </c>
      <c r="DZ19" s="40">
        <f>DT19</f>
        <v>63620</v>
      </c>
      <c r="EA19" s="45"/>
      <c r="EB19" s="46"/>
      <c r="EC19" s="46"/>
      <c r="ED19" s="46"/>
      <c r="EE19" s="46">
        <f>376+1671</f>
        <v>2047</v>
      </c>
      <c r="EF19" s="46">
        <f>424+1812</f>
        <v>2236</v>
      </c>
      <c r="EG19" s="46">
        <f>443+1750</f>
        <v>2193</v>
      </c>
      <c r="EH19" s="46">
        <f>460+1605</f>
        <v>2065</v>
      </c>
      <c r="EI19" s="46">
        <f>1233+1749</f>
        <v>2982</v>
      </c>
      <c r="EJ19" s="46">
        <f>1097+2163</f>
        <v>3260</v>
      </c>
      <c r="EK19" s="46">
        <f>1138+2254</f>
        <v>3392</v>
      </c>
      <c r="EL19" s="46">
        <f>765+1996</f>
        <v>2761</v>
      </c>
      <c r="EM19" s="46"/>
      <c r="EN19" s="46">
        <f>2750+4250+376+50237+30603+1756</f>
        <v>89972</v>
      </c>
      <c r="EO19" s="46">
        <f>EH19</f>
        <v>2065</v>
      </c>
      <c r="EP19" s="46">
        <f>EL19</f>
        <v>2761</v>
      </c>
      <c r="EQ19" s="46"/>
      <c r="ER19" s="40">
        <f>EL19</f>
        <v>2761</v>
      </c>
      <c r="ES19" s="45" t="str">
        <f t="shared" si="7"/>
        <v/>
      </c>
      <c r="ET19" s="46" t="str">
        <f t="shared" si="7"/>
        <v/>
      </c>
      <c r="EU19" s="46" t="str">
        <f t="shared" si="7"/>
        <v/>
      </c>
      <c r="EV19" s="46" t="str">
        <f t="shared" si="7"/>
        <v/>
      </c>
      <c r="EW19" s="46">
        <f t="shared" si="7"/>
        <v>85157</v>
      </c>
      <c r="EX19" s="46">
        <f t="shared" si="7"/>
        <v>64982</v>
      </c>
      <c r="EY19" s="46">
        <f t="shared" si="7"/>
        <v>68549</v>
      </c>
      <c r="EZ19" s="46">
        <f t="shared" si="7"/>
        <v>67892</v>
      </c>
      <c r="FA19" s="46">
        <f t="shared" si="7"/>
        <v>68237</v>
      </c>
      <c r="FB19" s="46">
        <f t="shared" si="7"/>
        <v>67952</v>
      </c>
      <c r="FC19" s="46">
        <f t="shared" si="7"/>
        <v>67604</v>
      </c>
      <c r="FD19" s="46">
        <f t="shared" si="7"/>
        <v>66381</v>
      </c>
      <c r="FE19" s="46"/>
      <c r="FF19" s="46">
        <f t="shared" si="9"/>
        <v>158459</v>
      </c>
      <c r="FG19" s="46">
        <f t="shared" si="9"/>
        <v>67892</v>
      </c>
      <c r="FH19" s="46">
        <f t="shared" si="9"/>
        <v>66381</v>
      </c>
      <c r="FI19" s="46"/>
      <c r="FJ19" s="46">
        <f t="shared" si="10"/>
        <v>66381</v>
      </c>
      <c r="FK19" s="45"/>
      <c r="FL19" s="46"/>
      <c r="FM19" s="46"/>
      <c r="FN19" s="46"/>
      <c r="FO19" s="46">
        <v>7762</v>
      </c>
      <c r="FP19" s="46">
        <v>13529</v>
      </c>
      <c r="FQ19" s="46">
        <v>6843</v>
      </c>
      <c r="FR19" s="46">
        <v>9238</v>
      </c>
      <c r="FS19" s="46">
        <v>8737</v>
      </c>
      <c r="FT19" s="46">
        <v>9711</v>
      </c>
      <c r="FU19" s="46">
        <v>13024</v>
      </c>
      <c r="FV19" s="46">
        <v>11481</v>
      </c>
      <c r="FW19" s="46"/>
      <c r="FX19" s="46">
        <v>6452</v>
      </c>
      <c r="FY19" s="46">
        <f>FR19</f>
        <v>9238</v>
      </c>
      <c r="FZ19" s="46">
        <f>FV19</f>
        <v>11481</v>
      </c>
      <c r="GA19" s="46"/>
      <c r="GB19" s="40">
        <f>FV19</f>
        <v>11481</v>
      </c>
      <c r="GC19" s="45"/>
      <c r="GD19" s="46"/>
      <c r="GE19" s="46"/>
      <c r="GF19" s="46"/>
      <c r="GG19" s="46">
        <v>11374</v>
      </c>
      <c r="GH19" s="46">
        <f>22322-GG19</f>
        <v>10948</v>
      </c>
      <c r="GI19" s="46">
        <f>18743-GH19-GG19</f>
        <v>-3579</v>
      </c>
      <c r="GJ19" s="46">
        <f>GQ19-SUM(GG19:GI19)</f>
        <v>18736</v>
      </c>
      <c r="GK19" s="46">
        <v>37302</v>
      </c>
      <c r="GL19" s="46">
        <f>81359-GK19</f>
        <v>44057</v>
      </c>
      <c r="GM19" s="46">
        <f>121598-GL19-GK19</f>
        <v>40239</v>
      </c>
      <c r="GN19" s="46">
        <f>24515-GM19-GL19-GK19</f>
        <v>-97083</v>
      </c>
      <c r="GO19" s="46"/>
      <c r="GP19" s="46"/>
      <c r="GQ19" s="46">
        <v>37479</v>
      </c>
      <c r="GR19" s="46">
        <f>SUM(GK19:GN19)</f>
        <v>24515</v>
      </c>
      <c r="GS19" s="46"/>
      <c r="GT19" s="40">
        <f>SUM(GK19:GN19)</f>
        <v>24515</v>
      </c>
      <c r="GU19" s="45"/>
      <c r="GV19" s="46"/>
      <c r="GW19" s="46"/>
      <c r="GX19" s="46"/>
      <c r="GY19" s="46">
        <v>1147</v>
      </c>
      <c r="GZ19" s="46">
        <f>3087-GY19</f>
        <v>1940</v>
      </c>
      <c r="HA19" s="46">
        <f>4081-GZ19-GY19</f>
        <v>994</v>
      </c>
      <c r="HB19" s="46">
        <f>HI19-SUM(GY19:HA19)</f>
        <v>1727</v>
      </c>
      <c r="HC19" s="46">
        <v>1194</v>
      </c>
      <c r="HD19" s="46">
        <f>3403-HC19</f>
        <v>2209</v>
      </c>
      <c r="HE19" s="46">
        <f>5051-HD19-HC19</f>
        <v>1648</v>
      </c>
      <c r="HF19" s="46">
        <f>8181-SUM(HC19:HE19)</f>
        <v>3130</v>
      </c>
      <c r="HG19" s="46"/>
      <c r="HH19" s="46"/>
      <c r="HI19" s="46">
        <v>5808</v>
      </c>
      <c r="HJ19" s="46">
        <f>SUM(HC19:HF19)</f>
        <v>8181</v>
      </c>
      <c r="HK19" s="46"/>
      <c r="HL19" s="40">
        <f>HJ19</f>
        <v>8181</v>
      </c>
      <c r="HM19" s="45" t="str">
        <f t="shared" si="11"/>
        <v/>
      </c>
      <c r="HN19" s="46" t="str">
        <f t="shared" si="11"/>
        <v/>
      </c>
      <c r="HO19" s="46" t="str">
        <f t="shared" si="11"/>
        <v/>
      </c>
      <c r="HP19" s="46" t="str">
        <f t="shared" si="11"/>
        <v/>
      </c>
      <c r="HQ19" s="46">
        <f t="shared" si="11"/>
        <v>10227</v>
      </c>
      <c r="HR19" s="46">
        <f t="shared" si="11"/>
        <v>9008</v>
      </c>
      <c r="HS19" s="46">
        <f t="shared" si="11"/>
        <v>-4573</v>
      </c>
      <c r="HT19" s="46">
        <f t="shared" si="11"/>
        <v>17009</v>
      </c>
      <c r="HU19" s="46">
        <f t="shared" si="11"/>
        <v>36108</v>
      </c>
      <c r="HV19" s="46">
        <f t="shared" si="11"/>
        <v>41848</v>
      </c>
      <c r="HW19" s="46">
        <f t="shared" si="11"/>
        <v>38591</v>
      </c>
      <c r="HX19" s="46">
        <f t="shared" si="11"/>
        <v>-100213</v>
      </c>
      <c r="HY19" s="46"/>
      <c r="HZ19" s="46" t="str">
        <f t="shared" si="12"/>
        <v/>
      </c>
      <c r="IA19" s="46">
        <f t="shared" si="12"/>
        <v>31671</v>
      </c>
      <c r="IB19" s="46">
        <f t="shared" si="12"/>
        <v>16334</v>
      </c>
      <c r="IC19" s="46"/>
      <c r="ID19" s="46">
        <f t="shared" si="13"/>
        <v>16334</v>
      </c>
      <c r="IE19" s="47" t="str">
        <f t="shared" si="14"/>
        <v/>
      </c>
      <c r="IF19" s="48" t="str">
        <f t="shared" si="14"/>
        <v/>
      </c>
      <c r="IG19" s="48" t="str">
        <f t="shared" si="14"/>
        <v/>
      </c>
      <c r="IH19" s="48" t="str">
        <f t="shared" si="14"/>
        <v/>
      </c>
      <c r="II19" s="48">
        <f t="shared" si="14"/>
        <v>3.9171960697357986</v>
      </c>
      <c r="IJ19" s="48">
        <f t="shared" si="14"/>
        <v>6.7452193874885982</v>
      </c>
      <c r="IK19" s="48">
        <f t="shared" si="14"/>
        <v>6.0651666311516133</v>
      </c>
      <c r="IL19" s="48">
        <f t="shared" si="14"/>
        <v>4.2575702718014039</v>
      </c>
      <c r="IM19" s="48">
        <f t="shared" si="14"/>
        <v>2.6049608572811862</v>
      </c>
      <c r="IN19" s="48">
        <f t="shared" si="14"/>
        <v>8.0702396732301143</v>
      </c>
      <c r="IO19" s="48">
        <f t="shared" si="14"/>
        <v>6.4491905718525073</v>
      </c>
      <c r="IP19" s="48">
        <f t="shared" si="14"/>
        <v>3.0913613879045521</v>
      </c>
      <c r="IQ19" s="48"/>
      <c r="IR19" s="48">
        <f t="shared" si="15"/>
        <v>2.7915466167172411</v>
      </c>
      <c r="IS19" s="48">
        <f t="shared" si="15"/>
        <v>5.2533664780422304</v>
      </c>
      <c r="IT19" s="48">
        <f t="shared" si="15"/>
        <v>5.0449436121496145</v>
      </c>
      <c r="IU19" s="48"/>
      <c r="IV19" s="48">
        <f t="shared" si="16"/>
        <v>5.0449436121496145</v>
      </c>
      <c r="IW19" s="47" t="str">
        <f t="shared" si="17"/>
        <v/>
      </c>
      <c r="IX19" s="48" t="str">
        <f t="shared" si="17"/>
        <v/>
      </c>
      <c r="IY19" s="48" t="str">
        <f t="shared" si="17"/>
        <v/>
      </c>
      <c r="IZ19" s="48" t="str">
        <f t="shared" si="17"/>
        <v/>
      </c>
      <c r="JA19" s="48">
        <f t="shared" si="17"/>
        <v>0.10357215138635904</v>
      </c>
      <c r="JB19" s="48">
        <f t="shared" si="17"/>
        <v>5.8035714285714288E-2</v>
      </c>
      <c r="JC19" s="48">
        <f t="shared" si="17"/>
        <v>6.9672131147540978E-2</v>
      </c>
      <c r="JD19" s="48">
        <f t="shared" si="17"/>
        <v>0.10410354496516941</v>
      </c>
      <c r="JE19" s="48">
        <f t="shared" si="17"/>
        <v>0.29007782101167318</v>
      </c>
      <c r="JF19" s="48">
        <f t="shared" si="17"/>
        <v>7.1856815376476812E-2</v>
      </c>
      <c r="JG19" s="48">
        <f t="shared" si="17"/>
        <v>9.4358517859129853E-2</v>
      </c>
      <c r="JH19" s="48">
        <f t="shared" si="17"/>
        <v>0.18962912087912087</v>
      </c>
      <c r="JI19" s="48"/>
      <c r="JJ19" s="48">
        <f t="shared" si="18"/>
        <v>4.7814210554286021</v>
      </c>
      <c r="JK19" s="48">
        <f t="shared" si="18"/>
        <v>7.5362199306193325E-2</v>
      </c>
      <c r="JL19" s="48">
        <f t="shared" si="18"/>
        <v>0.10403557029277667</v>
      </c>
      <c r="JM19" s="48"/>
      <c r="JN19" s="48">
        <f t="shared" si="19"/>
        <v>0.10403557029277667</v>
      </c>
      <c r="JO19" s="47" t="str">
        <f t="shared" si="20"/>
        <v/>
      </c>
      <c r="JP19" s="48" t="str">
        <f t="shared" si="20"/>
        <v/>
      </c>
      <c r="JQ19" s="48" t="str">
        <f t="shared" si="20"/>
        <v/>
      </c>
      <c r="JR19" s="48" t="str">
        <f t="shared" si="20"/>
        <v/>
      </c>
      <c r="JS19" s="48">
        <f t="shared" si="20"/>
        <v>3.2858925212905632</v>
      </c>
      <c r="JT19" s="48">
        <f t="shared" si="20"/>
        <v>1.4543886381947406</v>
      </c>
      <c r="JU19" s="48">
        <f t="shared" si="20"/>
        <v>1.8217578840745527</v>
      </c>
      <c r="JV19" s="48">
        <f t="shared" si="20"/>
        <v>2.6124403291031437</v>
      </c>
      <c r="JW19" s="48">
        <f t="shared" si="20"/>
        <v>4.1527045312112225</v>
      </c>
      <c r="JX19" s="48">
        <f t="shared" si="20"/>
        <v>1.3189455842166902</v>
      </c>
      <c r="JY19" s="48">
        <f t="shared" si="20"/>
        <v>1.6057979367287489</v>
      </c>
      <c r="JZ19" s="48">
        <f t="shared" si="20"/>
        <v>3.2049626249436196</v>
      </c>
      <c r="KA19" s="48"/>
      <c r="KB19" s="48">
        <f>IFERROR(FF19/(DD19),"")</f>
        <v>6.2836830294851378</v>
      </c>
      <c r="KC19" s="48">
        <f>IFERROR(FG19/(DE19),"")</f>
        <v>2.0234288213193317</v>
      </c>
      <c r="KD19" s="48">
        <f>IFERROR(FH19/(DF19),"")</f>
        <v>2.0305624720144193</v>
      </c>
      <c r="KE19" s="48"/>
      <c r="KF19" s="48">
        <f t="shared" si="23"/>
        <v>2.0305624720144193</v>
      </c>
      <c r="KG19" s="49">
        <f t="shared" si="24"/>
        <v>309356</v>
      </c>
      <c r="KH19" s="50">
        <f t="shared" si="35"/>
        <v>1.6809351871928779E-2</v>
      </c>
      <c r="KI19" s="49">
        <f t="shared" si="25"/>
        <v>26539</v>
      </c>
      <c r="KJ19" s="50">
        <f t="shared" si="36"/>
        <v>-3.1458882621276163E-2</v>
      </c>
      <c r="KK19" s="51">
        <f t="shared" si="26"/>
        <v>8.5787894852532354E-2</v>
      </c>
      <c r="KL19" s="52">
        <f t="shared" si="27"/>
        <v>66381</v>
      </c>
      <c r="KM19" s="52">
        <f t="shared" si="28"/>
        <v>11481</v>
      </c>
      <c r="KN19" s="52">
        <f t="shared" si="29"/>
        <v>24515</v>
      </c>
      <c r="KO19" s="53">
        <f t="shared" si="30"/>
        <v>5.0449436121496145</v>
      </c>
      <c r="KP19" s="54">
        <f t="shared" si="37"/>
        <v>5.2533664780422304</v>
      </c>
      <c r="KQ19" s="53">
        <f t="shared" si="31"/>
        <v>0.10403557029277667</v>
      </c>
      <c r="KR19" s="54">
        <f t="shared" si="38"/>
        <v>7.5362199306193325E-2</v>
      </c>
      <c r="KS19" s="53">
        <f t="shared" si="32"/>
        <v>2.0305624720144193</v>
      </c>
      <c r="KT19" s="54">
        <f t="shared" si="39"/>
        <v>2.0234288213193317</v>
      </c>
      <c r="KU19" s="55" t="s">
        <v>65</v>
      </c>
      <c r="KV19" s="68">
        <v>1</v>
      </c>
      <c r="KW19" s="37" t="s">
        <v>66</v>
      </c>
      <c r="KY19" s="37" t="s">
        <v>91</v>
      </c>
      <c r="KZ19" s="37" t="s">
        <v>113</v>
      </c>
      <c r="LA19" s="37" t="s">
        <v>171</v>
      </c>
      <c r="LB19" s="57" t="s">
        <v>113</v>
      </c>
      <c r="LC19" s="37" t="s">
        <v>172</v>
      </c>
      <c r="LD19" s="58" t="s">
        <v>173</v>
      </c>
      <c r="LE19" s="12" t="s">
        <v>174</v>
      </c>
      <c r="LF19" s="59" t="s">
        <v>175</v>
      </c>
    </row>
    <row r="20" spans="1:318" x14ac:dyDescent="0.25">
      <c r="A20" s="36" t="s">
        <v>176</v>
      </c>
      <c r="B20" s="37" t="s">
        <v>177</v>
      </c>
      <c r="C20" s="37" t="str">
        <f>INDEX('[1]Property Summary'!AB:AB,MATCH($A20,'[1]Property Summary'!$F:$F,FALSE))</f>
        <v>Vault Portfolio</v>
      </c>
      <c r="D20" s="38"/>
      <c r="AO20" s="42" t="str">
        <f t="shared" ref="AO20:AV41" si="46">IFERROR(W20/E20,"")</f>
        <v/>
      </c>
      <c r="AP20" s="43" t="str">
        <f t="shared" si="46"/>
        <v/>
      </c>
      <c r="AQ20" s="43" t="str">
        <f t="shared" si="46"/>
        <v/>
      </c>
      <c r="AR20" s="43" t="str">
        <f t="shared" si="46"/>
        <v/>
      </c>
      <c r="AS20" s="43" t="str">
        <f t="shared" si="46"/>
        <v/>
      </c>
      <c r="AT20" s="43" t="str">
        <f t="shared" si="46"/>
        <v/>
      </c>
      <c r="AU20" s="43" t="str">
        <f t="shared" si="46"/>
        <v/>
      </c>
      <c r="AV20" s="43" t="str">
        <f t="shared" si="46"/>
        <v/>
      </c>
      <c r="AW20" s="43"/>
      <c r="AX20" s="43"/>
      <c r="AY20" s="43"/>
      <c r="AZ20" s="43"/>
      <c r="BA20" s="43"/>
      <c r="BB20" s="43" t="str">
        <f t="shared" ref="BB20:BC30" si="47">IFERROR(AJ20/R20,"")</f>
        <v/>
      </c>
      <c r="BC20" s="43" t="str">
        <f t="shared" si="47"/>
        <v/>
      </c>
      <c r="BD20" s="43"/>
      <c r="BE20" s="43"/>
      <c r="BF20" s="44" t="str">
        <f t="shared" si="2"/>
        <v/>
      </c>
      <c r="CQ20" s="41" t="str">
        <f t="shared" ref="CQ20:CX41" si="48">IF(W20+BY20=0,"",W20+BY20)</f>
        <v/>
      </c>
      <c r="CR20" s="39" t="str">
        <f t="shared" si="48"/>
        <v/>
      </c>
      <c r="CS20" s="39" t="str">
        <f t="shared" si="48"/>
        <v/>
      </c>
      <c r="CT20" s="39" t="str">
        <f t="shared" si="48"/>
        <v/>
      </c>
      <c r="CU20" s="39" t="str">
        <f t="shared" si="48"/>
        <v/>
      </c>
      <c r="CV20" s="39" t="str">
        <f t="shared" si="48"/>
        <v/>
      </c>
      <c r="CW20" s="39" t="str">
        <f t="shared" si="48"/>
        <v/>
      </c>
      <c r="CX20" s="39" t="str">
        <f t="shared" si="48"/>
        <v/>
      </c>
      <c r="DD20" s="39" t="str">
        <f t="shared" ref="DD20:DE30" si="49">IF(AJ20+CL20=0,"",AJ20+CL20)</f>
        <v/>
      </c>
      <c r="DE20" s="39" t="str">
        <f t="shared" si="49"/>
        <v/>
      </c>
      <c r="DH20" s="39" t="str">
        <f t="shared" si="5"/>
        <v/>
      </c>
      <c r="EA20" s="45"/>
      <c r="EB20" s="46"/>
      <c r="EC20" s="46"/>
      <c r="ED20" s="46"/>
      <c r="EE20" s="46"/>
      <c r="EF20" s="46"/>
      <c r="EG20" s="46"/>
      <c r="EH20" s="46"/>
      <c r="EI20" s="46"/>
      <c r="EJ20" s="46"/>
      <c r="EK20" s="46"/>
      <c r="EL20" s="46"/>
      <c r="EM20" s="46"/>
      <c r="EN20" s="46"/>
      <c r="EO20" s="46"/>
      <c r="EP20" s="46"/>
      <c r="EQ20" s="46"/>
      <c r="ER20" s="40"/>
      <c r="ES20" s="45" t="str">
        <f t="shared" ref="ES20:EZ33" si="50">IF(DI20+EA20=0,"",DI20+EA20)</f>
        <v/>
      </c>
      <c r="ET20" s="46" t="str">
        <f t="shared" si="50"/>
        <v/>
      </c>
      <c r="EU20" s="46" t="str">
        <f t="shared" si="50"/>
        <v/>
      </c>
      <c r="EV20" s="46" t="str">
        <f t="shared" si="50"/>
        <v/>
      </c>
      <c r="EW20" s="46" t="str">
        <f t="shared" si="50"/>
        <v/>
      </c>
      <c r="EX20" s="46" t="str">
        <f t="shared" si="50"/>
        <v/>
      </c>
      <c r="EY20" s="46" t="str">
        <f t="shared" si="50"/>
        <v/>
      </c>
      <c r="EZ20" s="46" t="str">
        <f t="shared" si="50"/>
        <v/>
      </c>
      <c r="FA20" s="46"/>
      <c r="FB20" s="46"/>
      <c r="FC20" s="46"/>
      <c r="FD20" s="46"/>
      <c r="FE20" s="46"/>
      <c r="FF20" s="46" t="str">
        <f t="shared" ref="FF20:FG30" si="51">IF(DV20+EN20=0,"",DV20+EN20)</f>
        <v/>
      </c>
      <c r="FG20" s="46" t="str">
        <f t="shared" si="51"/>
        <v/>
      </c>
      <c r="FH20" s="46"/>
      <c r="FI20" s="46"/>
      <c r="FJ20" s="46" t="str">
        <f t="shared" si="10"/>
        <v/>
      </c>
      <c r="FK20" s="45"/>
      <c r="FL20" s="46"/>
      <c r="FM20" s="46"/>
      <c r="FN20" s="46"/>
      <c r="FO20" s="46"/>
      <c r="FP20" s="46"/>
      <c r="FQ20" s="46"/>
      <c r="FR20" s="46"/>
      <c r="FS20" s="46"/>
      <c r="FT20" s="46"/>
      <c r="FU20" s="46"/>
      <c r="FV20" s="46"/>
      <c r="FW20" s="46"/>
      <c r="FX20" s="46"/>
      <c r="FY20" s="46"/>
      <c r="FZ20" s="46"/>
      <c r="GA20" s="46"/>
      <c r="GB20" s="40"/>
      <c r="GC20" s="45"/>
      <c r="GD20" s="46"/>
      <c r="GE20" s="46"/>
      <c r="GF20" s="46"/>
      <c r="GG20" s="46"/>
      <c r="GH20" s="46"/>
      <c r="GI20" s="46"/>
      <c r="GJ20" s="46"/>
      <c r="GK20" s="46"/>
      <c r="GL20" s="46"/>
      <c r="GM20" s="46"/>
      <c r="GN20" s="46"/>
      <c r="GO20" s="46"/>
      <c r="GP20" s="46"/>
      <c r="GQ20" s="46"/>
      <c r="GR20" s="46"/>
      <c r="GS20" s="46"/>
      <c r="GT20" s="40"/>
      <c r="GU20" s="45"/>
      <c r="GV20" s="46"/>
      <c r="GW20" s="46"/>
      <c r="GX20" s="46"/>
      <c r="GY20" s="46"/>
      <c r="GZ20" s="46"/>
      <c r="HA20" s="46"/>
      <c r="HB20" s="46"/>
      <c r="HC20" s="46"/>
      <c r="HD20" s="46"/>
      <c r="HE20" s="46"/>
      <c r="HF20" s="46"/>
      <c r="HG20" s="46"/>
      <c r="HH20" s="46"/>
      <c r="HI20" s="46"/>
      <c r="HJ20" s="46"/>
      <c r="HK20" s="46"/>
      <c r="HL20" s="40"/>
      <c r="HM20" s="45" t="str">
        <f t="shared" ref="HM20:HT41" si="52">IF(GC20-GU20=0,"",GC20-GU20)</f>
        <v/>
      </c>
      <c r="HN20" s="46" t="str">
        <f t="shared" si="52"/>
        <v/>
      </c>
      <c r="HO20" s="46" t="str">
        <f t="shared" si="52"/>
        <v/>
      </c>
      <c r="HP20" s="46" t="str">
        <f t="shared" si="52"/>
        <v/>
      </c>
      <c r="HQ20" s="46" t="str">
        <f t="shared" si="52"/>
        <v/>
      </c>
      <c r="HR20" s="46" t="str">
        <f t="shared" si="52"/>
        <v/>
      </c>
      <c r="HS20" s="46" t="str">
        <f t="shared" si="52"/>
        <v/>
      </c>
      <c r="HT20" s="46" t="str">
        <f t="shared" si="52"/>
        <v/>
      </c>
      <c r="HU20" s="46"/>
      <c r="HV20" s="46"/>
      <c r="HW20" s="46"/>
      <c r="HX20" s="46"/>
      <c r="HY20" s="46"/>
      <c r="HZ20" s="46" t="str">
        <f t="shared" ref="HZ20:IA30" si="53">IF(GP20-HH20=0,"",GP20-HH20)</f>
        <v/>
      </c>
      <c r="IA20" s="46" t="str">
        <f t="shared" si="53"/>
        <v/>
      </c>
      <c r="IB20" s="46"/>
      <c r="IC20" s="46"/>
      <c r="ID20" s="46" t="str">
        <f t="shared" si="13"/>
        <v/>
      </c>
      <c r="IE20" s="47" t="str">
        <f t="shared" ref="IE20:IL41" si="54">IFERROR(CQ20/(BG20+BY20),"")</f>
        <v/>
      </c>
      <c r="IF20" s="48" t="str">
        <f t="shared" si="54"/>
        <v/>
      </c>
      <c r="IG20" s="48" t="str">
        <f t="shared" si="54"/>
        <v/>
      </c>
      <c r="IH20" s="48" t="str">
        <f t="shared" si="54"/>
        <v/>
      </c>
      <c r="II20" s="48" t="str">
        <f t="shared" si="54"/>
        <v/>
      </c>
      <c r="IJ20" s="48" t="str">
        <f t="shared" si="54"/>
        <v/>
      </c>
      <c r="IK20" s="48" t="str">
        <f t="shared" si="54"/>
        <v/>
      </c>
      <c r="IL20" s="48" t="str">
        <f t="shared" si="54"/>
        <v/>
      </c>
      <c r="IM20" s="48"/>
      <c r="IN20" s="48"/>
      <c r="IO20" s="48"/>
      <c r="IP20" s="48"/>
      <c r="IQ20" s="48"/>
      <c r="IR20" s="48" t="str">
        <f t="shared" ref="IR20:IS30" si="55">IFERROR(DD20/(BT20+CL20),"")</f>
        <v/>
      </c>
      <c r="IS20" s="48" t="str">
        <f t="shared" si="55"/>
        <v/>
      </c>
      <c r="IT20" s="48"/>
      <c r="IU20" s="48"/>
      <c r="IV20" s="48" t="str">
        <f t="shared" si="16"/>
        <v/>
      </c>
      <c r="IW20" s="47" t="str">
        <f t="shared" si="17"/>
        <v/>
      </c>
      <c r="IX20" s="48" t="str">
        <f t="shared" si="17"/>
        <v/>
      </c>
      <c r="IY20" s="48" t="str">
        <f t="shared" si="17"/>
        <v/>
      </c>
      <c r="IZ20" s="48" t="str">
        <f t="shared" si="17"/>
        <v/>
      </c>
      <c r="JA20" s="48" t="str">
        <f t="shared" si="17"/>
        <v/>
      </c>
      <c r="JB20" s="48" t="str">
        <f t="shared" si="17"/>
        <v/>
      </c>
      <c r="JC20" s="48" t="str">
        <f t="shared" si="17"/>
        <v/>
      </c>
      <c r="JD20" s="48" t="str">
        <f t="shared" si="17"/>
        <v/>
      </c>
      <c r="JE20" s="48" t="str">
        <f t="shared" si="17"/>
        <v/>
      </c>
      <c r="JF20" s="48" t="str">
        <f t="shared" si="17"/>
        <v/>
      </c>
      <c r="JG20" s="48" t="str">
        <f t="shared" si="17"/>
        <v/>
      </c>
      <c r="JH20" s="48" t="str">
        <f t="shared" si="17"/>
        <v/>
      </c>
      <c r="JI20" s="48"/>
      <c r="JJ20" s="48" t="str">
        <f t="shared" si="18"/>
        <v/>
      </c>
      <c r="JK20" s="48" t="str">
        <f t="shared" si="18"/>
        <v/>
      </c>
      <c r="JL20" s="48" t="str">
        <f t="shared" si="18"/>
        <v/>
      </c>
      <c r="JM20" s="48"/>
      <c r="JN20" s="48" t="str">
        <f t="shared" si="19"/>
        <v/>
      </c>
      <c r="JO20" s="47" t="str">
        <f t="shared" ref="JO20:JV34" si="56">IFERROR(ES20/(CQ20*4),"")</f>
        <v/>
      </c>
      <c r="JP20" s="48" t="str">
        <f t="shared" si="56"/>
        <v/>
      </c>
      <c r="JQ20" s="48" t="str">
        <f t="shared" si="56"/>
        <v/>
      </c>
      <c r="JR20" s="48" t="str">
        <f t="shared" si="56"/>
        <v/>
      </c>
      <c r="JS20" s="48" t="str">
        <f t="shared" si="56"/>
        <v/>
      </c>
      <c r="JT20" s="48" t="str">
        <f t="shared" si="56"/>
        <v/>
      </c>
      <c r="JU20" s="48" t="str">
        <f t="shared" si="56"/>
        <v/>
      </c>
      <c r="JV20" s="48" t="str">
        <f t="shared" si="56"/>
        <v/>
      </c>
      <c r="JW20" s="48"/>
      <c r="JX20" s="48"/>
      <c r="JY20" s="48"/>
      <c r="JZ20" s="48"/>
      <c r="KA20" s="48"/>
      <c r="KB20" s="48" t="str">
        <f t="shared" ref="KB20:KC27" si="57">IFERROR(FF20/(DD20),"")</f>
        <v/>
      </c>
      <c r="KC20" s="48" t="str">
        <f t="shared" si="57"/>
        <v/>
      </c>
      <c r="KD20" s="48"/>
      <c r="KE20" s="48"/>
      <c r="KF20" s="48" t="str">
        <f t="shared" si="23"/>
        <v/>
      </c>
      <c r="KG20" s="49" t="str">
        <f t="shared" si="24"/>
        <v/>
      </c>
      <c r="KH20" s="38"/>
      <c r="KI20" s="49" t="str">
        <f t="shared" si="25"/>
        <v/>
      </c>
      <c r="KJ20" s="38"/>
      <c r="KK20" s="51" t="str">
        <f t="shared" si="26"/>
        <v/>
      </c>
      <c r="KL20" s="52" t="str">
        <f t="shared" si="27"/>
        <v/>
      </c>
      <c r="KM20" s="52" t="str">
        <f t="shared" si="28"/>
        <v/>
      </c>
      <c r="KN20" s="52" t="str">
        <f t="shared" si="29"/>
        <v/>
      </c>
      <c r="KO20" s="53" t="str">
        <f t="shared" si="30"/>
        <v/>
      </c>
      <c r="KP20" s="54"/>
      <c r="KQ20" s="53" t="str">
        <f t="shared" ref="KQ20:KQ27" si="58">IF(IF(IF(KC20="",JZ20,KC20)="",JY20,(IF(KC20="",JZ20,KC20)))=0,"",(IF(IF(KC20="",JZ20,KC20)="",JY20,(IF(KC20="",JZ20,KC20)))))</f>
        <v/>
      </c>
      <c r="KR20" s="54" t="str">
        <f t="shared" si="38"/>
        <v/>
      </c>
      <c r="KS20" s="53" t="str">
        <f t="shared" si="32"/>
        <v/>
      </c>
      <c r="KT20" s="54"/>
      <c r="KV20" s="68">
        <v>1</v>
      </c>
      <c r="LA20" s="37" t="s">
        <v>93</v>
      </c>
      <c r="LD20" s="58"/>
      <c r="LE20" s="12"/>
      <c r="LF20" s="59" t="s">
        <v>178</v>
      </c>
    </row>
    <row r="21" spans="1:318" x14ac:dyDescent="0.25">
      <c r="A21" s="36" t="s">
        <v>179</v>
      </c>
      <c r="B21" s="37" t="s">
        <v>180</v>
      </c>
      <c r="C21" s="37" t="str">
        <f>INDEX('[1]Property Summary'!AB:AB,MATCH($A21,'[1]Property Summary'!$F:$F,FALSE))</f>
        <v>Vault Portfolio</v>
      </c>
      <c r="D21" s="38"/>
      <c r="AO21" s="42" t="str">
        <f t="shared" si="46"/>
        <v/>
      </c>
      <c r="AP21" s="43" t="str">
        <f t="shared" si="46"/>
        <v/>
      </c>
      <c r="AQ21" s="43" t="str">
        <f t="shared" si="46"/>
        <v/>
      </c>
      <c r="AR21" s="43" t="str">
        <f t="shared" si="46"/>
        <v/>
      </c>
      <c r="AS21" s="43" t="str">
        <f t="shared" si="46"/>
        <v/>
      </c>
      <c r="AT21" s="43" t="str">
        <f t="shared" si="46"/>
        <v/>
      </c>
      <c r="AU21" s="43" t="str">
        <f t="shared" si="46"/>
        <v/>
      </c>
      <c r="AV21" s="43" t="str">
        <f t="shared" si="46"/>
        <v/>
      </c>
      <c r="AW21" s="43"/>
      <c r="AX21" s="43"/>
      <c r="AY21" s="43"/>
      <c r="AZ21" s="43"/>
      <c r="BA21" s="43"/>
      <c r="BB21" s="43" t="str">
        <f t="shared" si="47"/>
        <v/>
      </c>
      <c r="BC21" s="43" t="str">
        <f t="shared" si="47"/>
        <v/>
      </c>
      <c r="BD21" s="43"/>
      <c r="BE21" s="43"/>
      <c r="BF21" s="44" t="str">
        <f t="shared" si="2"/>
        <v/>
      </c>
      <c r="CQ21" s="41" t="str">
        <f t="shared" si="48"/>
        <v/>
      </c>
      <c r="CR21" s="39" t="str">
        <f t="shared" si="48"/>
        <v/>
      </c>
      <c r="CS21" s="39" t="str">
        <f t="shared" si="48"/>
        <v/>
      </c>
      <c r="CT21" s="39" t="str">
        <f t="shared" si="48"/>
        <v/>
      </c>
      <c r="CU21" s="39" t="str">
        <f t="shared" si="48"/>
        <v/>
      </c>
      <c r="CV21" s="39" t="str">
        <f t="shared" si="48"/>
        <v/>
      </c>
      <c r="CW21" s="39" t="str">
        <f t="shared" si="48"/>
        <v/>
      </c>
      <c r="CX21" s="39" t="str">
        <f t="shared" si="48"/>
        <v/>
      </c>
      <c r="DD21" s="39" t="str">
        <f t="shared" si="49"/>
        <v/>
      </c>
      <c r="DE21" s="39" t="str">
        <f t="shared" si="49"/>
        <v/>
      </c>
      <c r="DH21" s="39" t="str">
        <f t="shared" si="5"/>
        <v/>
      </c>
      <c r="EA21" s="45"/>
      <c r="EB21" s="46"/>
      <c r="EC21" s="46"/>
      <c r="ED21" s="46"/>
      <c r="EE21" s="46"/>
      <c r="EF21" s="46"/>
      <c r="EG21" s="46"/>
      <c r="EH21" s="46"/>
      <c r="EI21" s="46"/>
      <c r="EJ21" s="46"/>
      <c r="EK21" s="46"/>
      <c r="EL21" s="46"/>
      <c r="EM21" s="46"/>
      <c r="EN21" s="46"/>
      <c r="EO21" s="46"/>
      <c r="EP21" s="46"/>
      <c r="EQ21" s="46"/>
      <c r="ER21" s="40"/>
      <c r="ES21" s="45" t="str">
        <f t="shared" si="50"/>
        <v/>
      </c>
      <c r="ET21" s="46" t="str">
        <f t="shared" si="50"/>
        <v/>
      </c>
      <c r="EU21" s="46" t="str">
        <f t="shared" si="50"/>
        <v/>
      </c>
      <c r="EV21" s="46" t="str">
        <f t="shared" si="50"/>
        <v/>
      </c>
      <c r="EW21" s="46" t="str">
        <f t="shared" si="50"/>
        <v/>
      </c>
      <c r="EX21" s="46" t="str">
        <f t="shared" si="50"/>
        <v/>
      </c>
      <c r="EY21" s="46" t="str">
        <f t="shared" si="50"/>
        <v/>
      </c>
      <c r="EZ21" s="46" t="str">
        <f t="shared" si="50"/>
        <v/>
      </c>
      <c r="FA21" s="46"/>
      <c r="FB21" s="46"/>
      <c r="FC21" s="46"/>
      <c r="FD21" s="46"/>
      <c r="FE21" s="46"/>
      <c r="FF21" s="46" t="str">
        <f t="shared" si="51"/>
        <v/>
      </c>
      <c r="FG21" s="46" t="str">
        <f t="shared" si="51"/>
        <v/>
      </c>
      <c r="FH21" s="46"/>
      <c r="FI21" s="46"/>
      <c r="FJ21" s="46" t="str">
        <f t="shared" si="10"/>
        <v/>
      </c>
      <c r="FK21" s="45"/>
      <c r="FL21" s="46"/>
      <c r="FM21" s="46"/>
      <c r="FN21" s="46"/>
      <c r="FO21" s="46"/>
      <c r="FP21" s="46"/>
      <c r="FQ21" s="46"/>
      <c r="FR21" s="46"/>
      <c r="FS21" s="46"/>
      <c r="FT21" s="46"/>
      <c r="FU21" s="46"/>
      <c r="FV21" s="46"/>
      <c r="FW21" s="46"/>
      <c r="FX21" s="46"/>
      <c r="FY21" s="46"/>
      <c r="FZ21" s="46"/>
      <c r="GA21" s="46"/>
      <c r="GB21" s="40"/>
      <c r="GC21" s="45"/>
      <c r="GD21" s="46"/>
      <c r="GE21" s="46"/>
      <c r="GF21" s="46"/>
      <c r="GG21" s="46"/>
      <c r="GH21" s="46"/>
      <c r="GI21" s="46"/>
      <c r="GJ21" s="46"/>
      <c r="GK21" s="46"/>
      <c r="GL21" s="46"/>
      <c r="GM21" s="46"/>
      <c r="GN21" s="46"/>
      <c r="GO21" s="46"/>
      <c r="GP21" s="46"/>
      <c r="GQ21" s="46"/>
      <c r="GR21" s="46"/>
      <c r="GS21" s="46"/>
      <c r="GT21" s="40"/>
      <c r="GU21" s="45"/>
      <c r="GV21" s="46"/>
      <c r="GW21" s="46"/>
      <c r="GX21" s="46"/>
      <c r="GY21" s="46"/>
      <c r="GZ21" s="46"/>
      <c r="HA21" s="46"/>
      <c r="HB21" s="46"/>
      <c r="HC21" s="46"/>
      <c r="HD21" s="46"/>
      <c r="HE21" s="46"/>
      <c r="HF21" s="46"/>
      <c r="HG21" s="46"/>
      <c r="HH21" s="46"/>
      <c r="HI21" s="46"/>
      <c r="HJ21" s="46"/>
      <c r="HK21" s="46"/>
      <c r="HL21" s="40"/>
      <c r="HM21" s="45" t="str">
        <f t="shared" si="52"/>
        <v/>
      </c>
      <c r="HN21" s="46" t="str">
        <f t="shared" si="52"/>
        <v/>
      </c>
      <c r="HO21" s="46" t="str">
        <f t="shared" si="52"/>
        <v/>
      </c>
      <c r="HP21" s="46" t="str">
        <f t="shared" si="52"/>
        <v/>
      </c>
      <c r="HQ21" s="46" t="str">
        <f t="shared" si="52"/>
        <v/>
      </c>
      <c r="HR21" s="46" t="str">
        <f t="shared" si="52"/>
        <v/>
      </c>
      <c r="HS21" s="46" t="str">
        <f t="shared" si="52"/>
        <v/>
      </c>
      <c r="HT21" s="46" t="str">
        <f t="shared" si="52"/>
        <v/>
      </c>
      <c r="HU21" s="46"/>
      <c r="HV21" s="46"/>
      <c r="HW21" s="46"/>
      <c r="HX21" s="46"/>
      <c r="HY21" s="46"/>
      <c r="HZ21" s="46" t="str">
        <f t="shared" si="53"/>
        <v/>
      </c>
      <c r="IA21" s="46" t="str">
        <f t="shared" si="53"/>
        <v/>
      </c>
      <c r="IB21" s="46"/>
      <c r="IC21" s="46"/>
      <c r="ID21" s="46" t="str">
        <f t="shared" si="13"/>
        <v/>
      </c>
      <c r="IE21" s="47" t="str">
        <f t="shared" si="54"/>
        <v/>
      </c>
      <c r="IF21" s="48" t="str">
        <f t="shared" si="54"/>
        <v/>
      </c>
      <c r="IG21" s="48" t="str">
        <f t="shared" si="54"/>
        <v/>
      </c>
      <c r="IH21" s="48" t="str">
        <f t="shared" si="54"/>
        <v/>
      </c>
      <c r="II21" s="48" t="str">
        <f t="shared" si="54"/>
        <v/>
      </c>
      <c r="IJ21" s="48" t="str">
        <f t="shared" si="54"/>
        <v/>
      </c>
      <c r="IK21" s="48" t="str">
        <f t="shared" si="54"/>
        <v/>
      </c>
      <c r="IL21" s="48" t="str">
        <f t="shared" si="54"/>
        <v/>
      </c>
      <c r="IM21" s="48"/>
      <c r="IN21" s="48"/>
      <c r="IO21" s="48"/>
      <c r="IP21" s="48"/>
      <c r="IQ21" s="48"/>
      <c r="IR21" s="48" t="str">
        <f t="shared" si="55"/>
        <v/>
      </c>
      <c r="IS21" s="48" t="str">
        <f t="shared" si="55"/>
        <v/>
      </c>
      <c r="IT21" s="48"/>
      <c r="IU21" s="48"/>
      <c r="IV21" s="48" t="str">
        <f t="shared" si="16"/>
        <v/>
      </c>
      <c r="IW21" s="47" t="str">
        <f t="shared" si="17"/>
        <v/>
      </c>
      <c r="IX21" s="48" t="str">
        <f t="shared" si="17"/>
        <v/>
      </c>
      <c r="IY21" s="48" t="str">
        <f t="shared" si="17"/>
        <v/>
      </c>
      <c r="IZ21" s="48" t="str">
        <f t="shared" si="17"/>
        <v/>
      </c>
      <c r="JA21" s="48" t="str">
        <f t="shared" si="17"/>
        <v/>
      </c>
      <c r="JB21" s="48" t="str">
        <f t="shared" si="17"/>
        <v/>
      </c>
      <c r="JC21" s="48" t="str">
        <f t="shared" si="17"/>
        <v/>
      </c>
      <c r="JD21" s="48" t="str">
        <f t="shared" si="17"/>
        <v/>
      </c>
      <c r="JE21" s="48" t="str">
        <f t="shared" si="17"/>
        <v/>
      </c>
      <c r="JF21" s="48" t="str">
        <f t="shared" si="17"/>
        <v/>
      </c>
      <c r="JG21" s="48" t="str">
        <f t="shared" si="17"/>
        <v/>
      </c>
      <c r="JH21" s="48" t="str">
        <f t="shared" si="17"/>
        <v/>
      </c>
      <c r="JI21" s="48"/>
      <c r="JJ21" s="48" t="str">
        <f t="shared" si="18"/>
        <v/>
      </c>
      <c r="JK21" s="48" t="str">
        <f t="shared" si="18"/>
        <v/>
      </c>
      <c r="JL21" s="48" t="str">
        <f t="shared" si="18"/>
        <v/>
      </c>
      <c r="JM21" s="48"/>
      <c r="JN21" s="48" t="str">
        <f t="shared" si="19"/>
        <v/>
      </c>
      <c r="JO21" s="47" t="str">
        <f t="shared" si="56"/>
        <v/>
      </c>
      <c r="JP21" s="48" t="str">
        <f t="shared" si="56"/>
        <v/>
      </c>
      <c r="JQ21" s="48" t="str">
        <f t="shared" si="56"/>
        <v/>
      </c>
      <c r="JR21" s="48" t="str">
        <f t="shared" si="56"/>
        <v/>
      </c>
      <c r="JS21" s="48" t="str">
        <f t="shared" si="56"/>
        <v/>
      </c>
      <c r="JT21" s="48" t="str">
        <f t="shared" si="56"/>
        <v/>
      </c>
      <c r="JU21" s="48" t="str">
        <f t="shared" si="56"/>
        <v/>
      </c>
      <c r="JV21" s="48" t="str">
        <f t="shared" si="56"/>
        <v/>
      </c>
      <c r="JW21" s="48"/>
      <c r="JX21" s="48"/>
      <c r="JY21" s="48"/>
      <c r="JZ21" s="48"/>
      <c r="KA21" s="48"/>
      <c r="KB21" s="48" t="str">
        <f t="shared" si="57"/>
        <v/>
      </c>
      <c r="KC21" s="48" t="str">
        <f t="shared" si="57"/>
        <v/>
      </c>
      <c r="KD21" s="48"/>
      <c r="KE21" s="48"/>
      <c r="KF21" s="48" t="str">
        <f t="shared" si="23"/>
        <v/>
      </c>
      <c r="KG21" s="49" t="str">
        <f t="shared" si="24"/>
        <v/>
      </c>
      <c r="KH21" s="38"/>
      <c r="KI21" s="49" t="str">
        <f t="shared" si="25"/>
        <v/>
      </c>
      <c r="KJ21" s="38"/>
      <c r="KK21" s="51" t="str">
        <f t="shared" si="26"/>
        <v/>
      </c>
      <c r="KL21" s="52" t="str">
        <f t="shared" si="27"/>
        <v/>
      </c>
      <c r="KM21" s="52" t="str">
        <f t="shared" si="28"/>
        <v/>
      </c>
      <c r="KN21" s="52" t="str">
        <f t="shared" si="29"/>
        <v/>
      </c>
      <c r="KO21" s="53" t="str">
        <f t="shared" si="30"/>
        <v/>
      </c>
      <c r="KP21" s="54"/>
      <c r="KQ21" s="53" t="str">
        <f t="shared" si="58"/>
        <v/>
      </c>
      <c r="KR21" s="54" t="str">
        <f t="shared" si="38"/>
        <v/>
      </c>
      <c r="KS21" s="53" t="str">
        <f t="shared" si="32"/>
        <v/>
      </c>
      <c r="KT21" s="54"/>
      <c r="KV21" s="68">
        <v>1</v>
      </c>
      <c r="LA21" s="37" t="s">
        <v>93</v>
      </c>
      <c r="LD21" s="58"/>
      <c r="LE21" s="12"/>
      <c r="LF21" s="59" t="s">
        <v>181</v>
      </c>
    </row>
    <row r="22" spans="1:318" x14ac:dyDescent="0.25">
      <c r="A22" s="36" t="s">
        <v>182</v>
      </c>
      <c r="B22" s="37" t="s">
        <v>182</v>
      </c>
      <c r="C22" s="37" t="str">
        <f>INDEX('[1]Property Summary'!AB:AB,MATCH($A22,'[1]Property Summary'!$F:$F,FALSE))</f>
        <v>Vault Portfolio</v>
      </c>
      <c r="D22" s="38"/>
      <c r="AO22" s="42" t="str">
        <f t="shared" si="46"/>
        <v/>
      </c>
      <c r="AP22" s="43" t="str">
        <f t="shared" si="46"/>
        <v/>
      </c>
      <c r="AQ22" s="43" t="str">
        <f t="shared" si="46"/>
        <v/>
      </c>
      <c r="AR22" s="43" t="str">
        <f t="shared" si="46"/>
        <v/>
      </c>
      <c r="AS22" s="43" t="str">
        <f t="shared" si="46"/>
        <v/>
      </c>
      <c r="AT22" s="43" t="str">
        <f t="shared" si="46"/>
        <v/>
      </c>
      <c r="AU22" s="43" t="str">
        <f t="shared" si="46"/>
        <v/>
      </c>
      <c r="AV22" s="43" t="str">
        <f t="shared" si="46"/>
        <v/>
      </c>
      <c r="AW22" s="43"/>
      <c r="AX22" s="43"/>
      <c r="AY22" s="43"/>
      <c r="AZ22" s="43"/>
      <c r="BA22" s="43"/>
      <c r="BB22" s="43" t="str">
        <f t="shared" si="47"/>
        <v/>
      </c>
      <c r="BC22" s="43" t="str">
        <f t="shared" si="47"/>
        <v/>
      </c>
      <c r="BD22" s="43"/>
      <c r="BE22" s="43"/>
      <c r="BF22" s="44" t="str">
        <f t="shared" si="2"/>
        <v/>
      </c>
      <c r="CQ22" s="41" t="str">
        <f t="shared" si="48"/>
        <v/>
      </c>
      <c r="CR22" s="39" t="str">
        <f t="shared" si="48"/>
        <v/>
      </c>
      <c r="CS22" s="39" t="str">
        <f t="shared" si="48"/>
        <v/>
      </c>
      <c r="CT22" s="39" t="str">
        <f t="shared" si="48"/>
        <v/>
      </c>
      <c r="CU22" s="39" t="str">
        <f t="shared" si="48"/>
        <v/>
      </c>
      <c r="CV22" s="39" t="str">
        <f t="shared" si="48"/>
        <v/>
      </c>
      <c r="CW22" s="39" t="str">
        <f t="shared" si="48"/>
        <v/>
      </c>
      <c r="CX22" s="39" t="str">
        <f t="shared" si="48"/>
        <v/>
      </c>
      <c r="DD22" s="39" t="str">
        <f t="shared" si="49"/>
        <v/>
      </c>
      <c r="DE22" s="39" t="str">
        <f t="shared" si="49"/>
        <v/>
      </c>
      <c r="DH22" s="39" t="str">
        <f t="shared" si="5"/>
        <v/>
      </c>
      <c r="EA22" s="45"/>
      <c r="EB22" s="46"/>
      <c r="EC22" s="46"/>
      <c r="ED22" s="46"/>
      <c r="EE22" s="46"/>
      <c r="EF22" s="46"/>
      <c r="EG22" s="46"/>
      <c r="EH22" s="46"/>
      <c r="EI22" s="46"/>
      <c r="EJ22" s="46"/>
      <c r="EK22" s="46"/>
      <c r="EL22" s="46"/>
      <c r="EM22" s="46"/>
      <c r="EN22" s="46"/>
      <c r="EO22" s="46"/>
      <c r="EP22" s="46"/>
      <c r="EQ22" s="46"/>
      <c r="ER22" s="40"/>
      <c r="ES22" s="45" t="str">
        <f t="shared" si="50"/>
        <v/>
      </c>
      <c r="ET22" s="46" t="str">
        <f t="shared" si="50"/>
        <v/>
      </c>
      <c r="EU22" s="46" t="str">
        <f t="shared" si="50"/>
        <v/>
      </c>
      <c r="EV22" s="46" t="str">
        <f t="shared" si="50"/>
        <v/>
      </c>
      <c r="EW22" s="46" t="str">
        <f t="shared" si="50"/>
        <v/>
      </c>
      <c r="EX22" s="46" t="str">
        <f t="shared" si="50"/>
        <v/>
      </c>
      <c r="EY22" s="46" t="str">
        <f t="shared" si="50"/>
        <v/>
      </c>
      <c r="EZ22" s="46" t="str">
        <f t="shared" si="50"/>
        <v/>
      </c>
      <c r="FA22" s="46"/>
      <c r="FB22" s="46"/>
      <c r="FC22" s="46"/>
      <c r="FD22" s="46"/>
      <c r="FE22" s="46"/>
      <c r="FF22" s="46" t="str">
        <f t="shared" si="51"/>
        <v/>
      </c>
      <c r="FG22" s="46" t="str">
        <f t="shared" si="51"/>
        <v/>
      </c>
      <c r="FH22" s="46"/>
      <c r="FI22" s="46"/>
      <c r="FJ22" s="46" t="str">
        <f t="shared" si="10"/>
        <v/>
      </c>
      <c r="FK22" s="45"/>
      <c r="FL22" s="46"/>
      <c r="FM22" s="46"/>
      <c r="FN22" s="46"/>
      <c r="FO22" s="46"/>
      <c r="FP22" s="46"/>
      <c r="FQ22" s="46"/>
      <c r="FR22" s="46"/>
      <c r="FS22" s="46"/>
      <c r="FT22" s="46"/>
      <c r="FU22" s="46"/>
      <c r="FV22" s="46"/>
      <c r="FW22" s="46"/>
      <c r="FX22" s="46"/>
      <c r="FY22" s="46"/>
      <c r="FZ22" s="46"/>
      <c r="GA22" s="46"/>
      <c r="GB22" s="40"/>
      <c r="GC22" s="45"/>
      <c r="GD22" s="46"/>
      <c r="GE22" s="46"/>
      <c r="GF22" s="46"/>
      <c r="GG22" s="46"/>
      <c r="GH22" s="46"/>
      <c r="GI22" s="46"/>
      <c r="GJ22" s="46"/>
      <c r="GK22" s="46"/>
      <c r="GL22" s="46"/>
      <c r="GM22" s="46"/>
      <c r="GN22" s="46"/>
      <c r="GO22" s="46"/>
      <c r="GP22" s="46"/>
      <c r="GQ22" s="46"/>
      <c r="GR22" s="46"/>
      <c r="GS22" s="46"/>
      <c r="GT22" s="40"/>
      <c r="GU22" s="45"/>
      <c r="GV22" s="46"/>
      <c r="GW22" s="46"/>
      <c r="GX22" s="46"/>
      <c r="GY22" s="46"/>
      <c r="GZ22" s="46"/>
      <c r="HA22" s="46"/>
      <c r="HB22" s="46"/>
      <c r="HC22" s="46"/>
      <c r="HD22" s="46"/>
      <c r="HE22" s="46"/>
      <c r="HF22" s="46"/>
      <c r="HG22" s="46"/>
      <c r="HH22" s="46"/>
      <c r="HI22" s="46"/>
      <c r="HJ22" s="46"/>
      <c r="HK22" s="46"/>
      <c r="HL22" s="40"/>
      <c r="HM22" s="45" t="str">
        <f t="shared" si="52"/>
        <v/>
      </c>
      <c r="HN22" s="46" t="str">
        <f t="shared" si="52"/>
        <v/>
      </c>
      <c r="HO22" s="46" t="str">
        <f t="shared" si="52"/>
        <v/>
      </c>
      <c r="HP22" s="46" t="str">
        <f t="shared" si="52"/>
        <v/>
      </c>
      <c r="HQ22" s="46" t="str">
        <f t="shared" si="52"/>
        <v/>
      </c>
      <c r="HR22" s="46" t="str">
        <f t="shared" si="52"/>
        <v/>
      </c>
      <c r="HS22" s="46" t="str">
        <f t="shared" si="52"/>
        <v/>
      </c>
      <c r="HT22" s="46" t="str">
        <f t="shared" si="52"/>
        <v/>
      </c>
      <c r="HU22" s="46"/>
      <c r="HV22" s="46"/>
      <c r="HW22" s="46"/>
      <c r="HX22" s="46"/>
      <c r="HY22" s="46"/>
      <c r="HZ22" s="46" t="str">
        <f t="shared" si="53"/>
        <v/>
      </c>
      <c r="IA22" s="46" t="str">
        <f t="shared" si="53"/>
        <v/>
      </c>
      <c r="IB22" s="46"/>
      <c r="IC22" s="46"/>
      <c r="ID22" s="46" t="str">
        <f t="shared" si="13"/>
        <v/>
      </c>
      <c r="IE22" s="47" t="str">
        <f t="shared" si="54"/>
        <v/>
      </c>
      <c r="IF22" s="48" t="str">
        <f t="shared" si="54"/>
        <v/>
      </c>
      <c r="IG22" s="48" t="str">
        <f t="shared" si="54"/>
        <v/>
      </c>
      <c r="IH22" s="48" t="str">
        <f t="shared" si="54"/>
        <v/>
      </c>
      <c r="II22" s="48" t="str">
        <f t="shared" si="54"/>
        <v/>
      </c>
      <c r="IJ22" s="48" t="str">
        <f t="shared" si="54"/>
        <v/>
      </c>
      <c r="IK22" s="48" t="str">
        <f t="shared" si="54"/>
        <v/>
      </c>
      <c r="IL22" s="48" t="str">
        <f t="shared" si="54"/>
        <v/>
      </c>
      <c r="IM22" s="48"/>
      <c r="IN22" s="48"/>
      <c r="IO22" s="48"/>
      <c r="IP22" s="48"/>
      <c r="IQ22" s="48"/>
      <c r="IR22" s="48" t="str">
        <f t="shared" si="55"/>
        <v/>
      </c>
      <c r="IS22" s="48" t="str">
        <f t="shared" si="55"/>
        <v/>
      </c>
      <c r="IT22" s="48"/>
      <c r="IU22" s="48"/>
      <c r="IV22" s="48" t="str">
        <f t="shared" si="16"/>
        <v/>
      </c>
      <c r="IW22" s="47" t="str">
        <f t="shared" si="17"/>
        <v/>
      </c>
      <c r="IX22" s="48" t="str">
        <f t="shared" si="17"/>
        <v/>
      </c>
      <c r="IY22" s="48" t="str">
        <f t="shared" si="17"/>
        <v/>
      </c>
      <c r="IZ22" s="48" t="str">
        <f t="shared" si="17"/>
        <v/>
      </c>
      <c r="JA22" s="48" t="str">
        <f t="shared" si="17"/>
        <v/>
      </c>
      <c r="JB22" s="48" t="str">
        <f t="shared" si="17"/>
        <v/>
      </c>
      <c r="JC22" s="48" t="str">
        <f t="shared" si="17"/>
        <v/>
      </c>
      <c r="JD22" s="48" t="str">
        <f t="shared" si="17"/>
        <v/>
      </c>
      <c r="JE22" s="48" t="str">
        <f t="shared" si="17"/>
        <v/>
      </c>
      <c r="JF22" s="48" t="str">
        <f t="shared" si="17"/>
        <v/>
      </c>
      <c r="JG22" s="48" t="str">
        <f t="shared" si="17"/>
        <v/>
      </c>
      <c r="JH22" s="48" t="str">
        <f t="shared" si="17"/>
        <v/>
      </c>
      <c r="JI22" s="48"/>
      <c r="JJ22" s="48" t="str">
        <f t="shared" si="18"/>
        <v/>
      </c>
      <c r="JK22" s="48" t="str">
        <f t="shared" si="18"/>
        <v/>
      </c>
      <c r="JL22" s="48" t="str">
        <f t="shared" si="18"/>
        <v/>
      </c>
      <c r="JM22" s="48"/>
      <c r="JN22" s="48" t="str">
        <f t="shared" si="19"/>
        <v/>
      </c>
      <c r="JO22" s="47" t="str">
        <f t="shared" si="56"/>
        <v/>
      </c>
      <c r="JP22" s="48" t="str">
        <f t="shared" si="56"/>
        <v/>
      </c>
      <c r="JQ22" s="48" t="str">
        <f t="shared" si="56"/>
        <v/>
      </c>
      <c r="JR22" s="48" t="str">
        <f t="shared" si="56"/>
        <v/>
      </c>
      <c r="JS22" s="48" t="str">
        <f t="shared" si="56"/>
        <v/>
      </c>
      <c r="JT22" s="48" t="str">
        <f t="shared" si="56"/>
        <v/>
      </c>
      <c r="JU22" s="48" t="str">
        <f t="shared" si="56"/>
        <v/>
      </c>
      <c r="JV22" s="48" t="str">
        <f t="shared" si="56"/>
        <v/>
      </c>
      <c r="JW22" s="48"/>
      <c r="JX22" s="48"/>
      <c r="JY22" s="48"/>
      <c r="JZ22" s="48"/>
      <c r="KA22" s="48"/>
      <c r="KB22" s="48" t="str">
        <f t="shared" si="57"/>
        <v/>
      </c>
      <c r="KC22" s="48" t="str">
        <f t="shared" si="57"/>
        <v/>
      </c>
      <c r="KD22" s="48"/>
      <c r="KE22" s="48"/>
      <c r="KF22" s="48" t="str">
        <f t="shared" si="23"/>
        <v/>
      </c>
      <c r="KG22" s="49" t="str">
        <f t="shared" si="24"/>
        <v/>
      </c>
      <c r="KH22" s="38"/>
      <c r="KI22" s="49" t="str">
        <f t="shared" si="25"/>
        <v/>
      </c>
      <c r="KJ22" s="38"/>
      <c r="KK22" s="51" t="str">
        <f t="shared" si="26"/>
        <v/>
      </c>
      <c r="KL22" s="52" t="str">
        <f t="shared" si="27"/>
        <v/>
      </c>
      <c r="KM22" s="52" t="str">
        <f t="shared" si="28"/>
        <v/>
      </c>
      <c r="KN22" s="52" t="str">
        <f t="shared" si="29"/>
        <v/>
      </c>
      <c r="KO22" s="53" t="str">
        <f t="shared" si="30"/>
        <v/>
      </c>
      <c r="KP22" s="54"/>
      <c r="KQ22" s="53" t="str">
        <f t="shared" si="58"/>
        <v/>
      </c>
      <c r="KR22" s="54" t="str">
        <f t="shared" si="38"/>
        <v/>
      </c>
      <c r="KS22" s="53" t="str">
        <f t="shared" si="32"/>
        <v/>
      </c>
      <c r="KT22" s="54"/>
      <c r="KV22" s="68">
        <v>1</v>
      </c>
      <c r="LA22" s="37" t="s">
        <v>93</v>
      </c>
      <c r="LC22" s="37" t="s">
        <v>183</v>
      </c>
      <c r="LD22" s="58"/>
      <c r="LE22" s="12"/>
      <c r="LF22" s="59" t="s">
        <v>181</v>
      </c>
    </row>
    <row r="23" spans="1:318" x14ac:dyDescent="0.25">
      <c r="A23" s="36" t="s">
        <v>184</v>
      </c>
      <c r="B23" s="37" t="s">
        <v>184</v>
      </c>
      <c r="C23" s="37" t="str">
        <f>INDEX('[1]Property Summary'!AB:AB,MATCH($A23,'[1]Property Summary'!$F:$F,FALSE))</f>
        <v>Vault Portfolio</v>
      </c>
      <c r="D23" s="38"/>
      <c r="AO23" s="42" t="str">
        <f t="shared" si="46"/>
        <v/>
      </c>
      <c r="AP23" s="43" t="str">
        <f t="shared" si="46"/>
        <v/>
      </c>
      <c r="AQ23" s="43" t="str">
        <f t="shared" si="46"/>
        <v/>
      </c>
      <c r="AR23" s="43" t="str">
        <f t="shared" si="46"/>
        <v/>
      </c>
      <c r="AS23" s="43" t="str">
        <f t="shared" si="46"/>
        <v/>
      </c>
      <c r="AT23" s="43" t="str">
        <f t="shared" si="46"/>
        <v/>
      </c>
      <c r="AU23" s="43" t="str">
        <f t="shared" si="46"/>
        <v/>
      </c>
      <c r="AV23" s="43" t="str">
        <f t="shared" si="46"/>
        <v/>
      </c>
      <c r="AW23" s="43"/>
      <c r="AX23" s="43"/>
      <c r="AY23" s="43"/>
      <c r="AZ23" s="43"/>
      <c r="BA23" s="43"/>
      <c r="BB23" s="43" t="str">
        <f t="shared" si="47"/>
        <v/>
      </c>
      <c r="BC23" s="43" t="str">
        <f t="shared" si="47"/>
        <v/>
      </c>
      <c r="BD23" s="43"/>
      <c r="BE23" s="43"/>
      <c r="BF23" s="44" t="str">
        <f t="shared" si="2"/>
        <v/>
      </c>
      <c r="CQ23" s="41" t="str">
        <f t="shared" si="48"/>
        <v/>
      </c>
      <c r="CR23" s="39" t="str">
        <f t="shared" si="48"/>
        <v/>
      </c>
      <c r="CS23" s="39" t="str">
        <f t="shared" si="48"/>
        <v/>
      </c>
      <c r="CT23" s="39" t="str">
        <f t="shared" si="48"/>
        <v/>
      </c>
      <c r="CU23" s="39" t="str">
        <f t="shared" si="48"/>
        <v/>
      </c>
      <c r="CV23" s="39" t="str">
        <f t="shared" si="48"/>
        <v/>
      </c>
      <c r="CW23" s="39" t="str">
        <f t="shared" si="48"/>
        <v/>
      </c>
      <c r="CX23" s="39" t="str">
        <f t="shared" si="48"/>
        <v/>
      </c>
      <c r="DD23" s="39" t="str">
        <f t="shared" si="49"/>
        <v/>
      </c>
      <c r="DE23" s="39" t="str">
        <f t="shared" si="49"/>
        <v/>
      </c>
      <c r="DH23" s="39" t="str">
        <f t="shared" si="5"/>
        <v/>
      </c>
      <c r="EA23" s="45"/>
      <c r="EB23" s="46"/>
      <c r="EC23" s="46"/>
      <c r="ED23" s="46"/>
      <c r="EE23" s="46"/>
      <c r="EF23" s="46"/>
      <c r="EG23" s="46"/>
      <c r="EH23" s="46"/>
      <c r="EI23" s="46"/>
      <c r="EJ23" s="46"/>
      <c r="EK23" s="46"/>
      <c r="EL23" s="46"/>
      <c r="EM23" s="46"/>
      <c r="EN23" s="46"/>
      <c r="EO23" s="46"/>
      <c r="EP23" s="46"/>
      <c r="EQ23" s="46"/>
      <c r="ER23" s="40"/>
      <c r="ES23" s="45" t="str">
        <f t="shared" si="50"/>
        <v/>
      </c>
      <c r="ET23" s="46" t="str">
        <f t="shared" si="50"/>
        <v/>
      </c>
      <c r="EU23" s="46" t="str">
        <f t="shared" si="50"/>
        <v/>
      </c>
      <c r="EV23" s="46" t="str">
        <f t="shared" si="50"/>
        <v/>
      </c>
      <c r="EW23" s="46" t="str">
        <f t="shared" si="50"/>
        <v/>
      </c>
      <c r="EX23" s="46" t="str">
        <f t="shared" si="50"/>
        <v/>
      </c>
      <c r="EY23" s="46" t="str">
        <f t="shared" si="50"/>
        <v/>
      </c>
      <c r="EZ23" s="46" t="str">
        <f t="shared" si="50"/>
        <v/>
      </c>
      <c r="FA23" s="46"/>
      <c r="FB23" s="46"/>
      <c r="FC23" s="46"/>
      <c r="FD23" s="46"/>
      <c r="FE23" s="46"/>
      <c r="FF23" s="46" t="str">
        <f t="shared" si="51"/>
        <v/>
      </c>
      <c r="FG23" s="46" t="str">
        <f t="shared" si="51"/>
        <v/>
      </c>
      <c r="FH23" s="46"/>
      <c r="FI23" s="46"/>
      <c r="FJ23" s="46" t="str">
        <f t="shared" si="10"/>
        <v/>
      </c>
      <c r="FK23" s="45"/>
      <c r="FL23" s="46"/>
      <c r="FM23" s="46"/>
      <c r="FN23" s="46"/>
      <c r="FO23" s="46"/>
      <c r="FP23" s="46"/>
      <c r="FQ23" s="46"/>
      <c r="FR23" s="46"/>
      <c r="FS23" s="46"/>
      <c r="FT23" s="46"/>
      <c r="FU23" s="46"/>
      <c r="FV23" s="46"/>
      <c r="FW23" s="46"/>
      <c r="FX23" s="46"/>
      <c r="FY23" s="46"/>
      <c r="FZ23" s="46"/>
      <c r="GA23" s="46"/>
      <c r="GB23" s="40"/>
      <c r="GC23" s="45"/>
      <c r="GD23" s="46"/>
      <c r="GE23" s="46"/>
      <c r="GF23" s="46"/>
      <c r="GG23" s="46"/>
      <c r="GH23" s="46"/>
      <c r="GI23" s="46"/>
      <c r="GJ23" s="46"/>
      <c r="GK23" s="46"/>
      <c r="GL23" s="46"/>
      <c r="GM23" s="46"/>
      <c r="GN23" s="46"/>
      <c r="GO23" s="46"/>
      <c r="GP23" s="46"/>
      <c r="GQ23" s="46"/>
      <c r="GR23" s="46"/>
      <c r="GS23" s="46"/>
      <c r="GT23" s="40"/>
      <c r="GU23" s="45"/>
      <c r="GV23" s="46"/>
      <c r="GW23" s="46"/>
      <c r="GX23" s="46"/>
      <c r="GY23" s="46"/>
      <c r="GZ23" s="46"/>
      <c r="HA23" s="46"/>
      <c r="HB23" s="46"/>
      <c r="HC23" s="46"/>
      <c r="HD23" s="46"/>
      <c r="HE23" s="46"/>
      <c r="HF23" s="46"/>
      <c r="HG23" s="46"/>
      <c r="HH23" s="46"/>
      <c r="HI23" s="46"/>
      <c r="HJ23" s="46"/>
      <c r="HK23" s="46"/>
      <c r="HL23" s="40"/>
      <c r="HM23" s="45" t="str">
        <f t="shared" si="52"/>
        <v/>
      </c>
      <c r="HN23" s="46" t="str">
        <f t="shared" si="52"/>
        <v/>
      </c>
      <c r="HO23" s="46" t="str">
        <f t="shared" si="52"/>
        <v/>
      </c>
      <c r="HP23" s="46" t="str">
        <f t="shared" si="52"/>
        <v/>
      </c>
      <c r="HQ23" s="46" t="str">
        <f t="shared" si="52"/>
        <v/>
      </c>
      <c r="HR23" s="46" t="str">
        <f t="shared" si="52"/>
        <v/>
      </c>
      <c r="HS23" s="46" t="str">
        <f t="shared" si="52"/>
        <v/>
      </c>
      <c r="HT23" s="46" t="str">
        <f t="shared" si="52"/>
        <v/>
      </c>
      <c r="HU23" s="46"/>
      <c r="HV23" s="46"/>
      <c r="HW23" s="46"/>
      <c r="HX23" s="46"/>
      <c r="HY23" s="46"/>
      <c r="HZ23" s="46" t="str">
        <f t="shared" si="53"/>
        <v/>
      </c>
      <c r="IA23" s="46" t="str">
        <f t="shared" si="53"/>
        <v/>
      </c>
      <c r="IB23" s="46"/>
      <c r="IC23" s="46"/>
      <c r="ID23" s="46" t="str">
        <f t="shared" si="13"/>
        <v/>
      </c>
      <c r="IE23" s="47" t="str">
        <f t="shared" si="54"/>
        <v/>
      </c>
      <c r="IF23" s="48" t="str">
        <f t="shared" si="54"/>
        <v/>
      </c>
      <c r="IG23" s="48" t="str">
        <f t="shared" si="54"/>
        <v/>
      </c>
      <c r="IH23" s="48" t="str">
        <f t="shared" si="54"/>
        <v/>
      </c>
      <c r="II23" s="48" t="str">
        <f t="shared" si="54"/>
        <v/>
      </c>
      <c r="IJ23" s="48" t="str">
        <f t="shared" si="54"/>
        <v/>
      </c>
      <c r="IK23" s="48" t="str">
        <f t="shared" si="54"/>
        <v/>
      </c>
      <c r="IL23" s="48" t="str">
        <f t="shared" si="54"/>
        <v/>
      </c>
      <c r="IM23" s="48"/>
      <c r="IN23" s="48"/>
      <c r="IO23" s="48"/>
      <c r="IP23" s="48"/>
      <c r="IQ23" s="48"/>
      <c r="IR23" s="48" t="str">
        <f t="shared" si="55"/>
        <v/>
      </c>
      <c r="IS23" s="48" t="str">
        <f t="shared" si="55"/>
        <v/>
      </c>
      <c r="IT23" s="48"/>
      <c r="IU23" s="48"/>
      <c r="IV23" s="48" t="str">
        <f t="shared" si="16"/>
        <v/>
      </c>
      <c r="IW23" s="47" t="str">
        <f t="shared" si="17"/>
        <v/>
      </c>
      <c r="IX23" s="48" t="str">
        <f t="shared" si="17"/>
        <v/>
      </c>
      <c r="IY23" s="48" t="str">
        <f t="shared" si="17"/>
        <v/>
      </c>
      <c r="IZ23" s="48" t="str">
        <f t="shared" si="17"/>
        <v/>
      </c>
      <c r="JA23" s="48" t="str">
        <f t="shared" si="17"/>
        <v/>
      </c>
      <c r="JB23" s="48" t="str">
        <f t="shared" si="17"/>
        <v/>
      </c>
      <c r="JC23" s="48" t="str">
        <f t="shared" si="17"/>
        <v/>
      </c>
      <c r="JD23" s="48" t="str">
        <f t="shared" si="17"/>
        <v/>
      </c>
      <c r="JE23" s="48" t="str">
        <f t="shared" si="17"/>
        <v/>
      </c>
      <c r="JF23" s="48" t="str">
        <f t="shared" si="17"/>
        <v/>
      </c>
      <c r="JG23" s="48" t="str">
        <f t="shared" si="17"/>
        <v/>
      </c>
      <c r="JH23" s="48" t="str">
        <f t="shared" si="17"/>
        <v/>
      </c>
      <c r="JI23" s="48"/>
      <c r="JJ23" s="48" t="str">
        <f t="shared" si="18"/>
        <v/>
      </c>
      <c r="JK23" s="48" t="str">
        <f t="shared" si="18"/>
        <v/>
      </c>
      <c r="JL23" s="48" t="str">
        <f t="shared" si="18"/>
        <v/>
      </c>
      <c r="JM23" s="48"/>
      <c r="JN23" s="48" t="str">
        <f t="shared" si="19"/>
        <v/>
      </c>
      <c r="JO23" s="47" t="str">
        <f t="shared" si="56"/>
        <v/>
      </c>
      <c r="JP23" s="48" t="str">
        <f t="shared" si="56"/>
        <v/>
      </c>
      <c r="JQ23" s="48" t="str">
        <f t="shared" si="56"/>
        <v/>
      </c>
      <c r="JR23" s="48" t="str">
        <f t="shared" si="56"/>
        <v/>
      </c>
      <c r="JS23" s="48" t="str">
        <f t="shared" si="56"/>
        <v/>
      </c>
      <c r="JT23" s="48" t="str">
        <f t="shared" si="56"/>
        <v/>
      </c>
      <c r="JU23" s="48" t="str">
        <f t="shared" si="56"/>
        <v/>
      </c>
      <c r="JV23" s="48" t="str">
        <f t="shared" si="56"/>
        <v/>
      </c>
      <c r="JW23" s="48"/>
      <c r="JX23" s="48"/>
      <c r="JY23" s="48"/>
      <c r="JZ23" s="48"/>
      <c r="KA23" s="48"/>
      <c r="KB23" s="48" t="str">
        <f t="shared" si="57"/>
        <v/>
      </c>
      <c r="KC23" s="48" t="str">
        <f t="shared" si="57"/>
        <v/>
      </c>
      <c r="KD23" s="48"/>
      <c r="KE23" s="48"/>
      <c r="KF23" s="48" t="str">
        <f t="shared" si="23"/>
        <v/>
      </c>
      <c r="KG23" s="49" t="str">
        <f t="shared" si="24"/>
        <v/>
      </c>
      <c r="KH23" s="38"/>
      <c r="KI23" s="49" t="str">
        <f t="shared" si="25"/>
        <v/>
      </c>
      <c r="KJ23" s="38"/>
      <c r="KK23" s="51" t="str">
        <f t="shared" si="26"/>
        <v/>
      </c>
      <c r="KL23" s="52" t="str">
        <f t="shared" si="27"/>
        <v/>
      </c>
      <c r="KM23" s="52" t="str">
        <f t="shared" si="28"/>
        <v/>
      </c>
      <c r="KN23" s="52" t="str">
        <f t="shared" si="29"/>
        <v/>
      </c>
      <c r="KO23" s="53" t="str">
        <f t="shared" si="30"/>
        <v/>
      </c>
      <c r="KP23" s="54"/>
      <c r="KQ23" s="53" t="str">
        <f t="shared" si="58"/>
        <v/>
      </c>
      <c r="KR23" s="54" t="str">
        <f t="shared" si="38"/>
        <v/>
      </c>
      <c r="KS23" s="53" t="str">
        <f t="shared" si="32"/>
        <v/>
      </c>
      <c r="KT23" s="54"/>
      <c r="KV23" s="68">
        <v>1</v>
      </c>
      <c r="LA23" s="37" t="s">
        <v>93</v>
      </c>
      <c r="LD23" s="58"/>
      <c r="LE23" s="12"/>
      <c r="LF23" s="59" t="s">
        <v>185</v>
      </c>
    </row>
    <row r="24" spans="1:318" x14ac:dyDescent="0.25">
      <c r="A24" s="36" t="s">
        <v>186</v>
      </c>
      <c r="B24" s="37" t="s">
        <v>186</v>
      </c>
      <c r="C24" s="37" t="str">
        <f>INDEX('[1]Property Summary'!AB:AB,MATCH($A24,'[1]Property Summary'!$F:$F,FALSE))</f>
        <v>Vault Portfolio</v>
      </c>
      <c r="D24" s="38"/>
      <c r="AO24" s="42" t="str">
        <f t="shared" si="46"/>
        <v/>
      </c>
      <c r="AP24" s="43" t="str">
        <f t="shared" si="46"/>
        <v/>
      </c>
      <c r="AQ24" s="43" t="str">
        <f t="shared" si="46"/>
        <v/>
      </c>
      <c r="AR24" s="43" t="str">
        <f t="shared" si="46"/>
        <v/>
      </c>
      <c r="AS24" s="43" t="str">
        <f t="shared" si="46"/>
        <v/>
      </c>
      <c r="AT24" s="43" t="str">
        <f t="shared" si="46"/>
        <v/>
      </c>
      <c r="AU24" s="43" t="str">
        <f t="shared" si="46"/>
        <v/>
      </c>
      <c r="AV24" s="43" t="str">
        <f t="shared" si="46"/>
        <v/>
      </c>
      <c r="AW24" s="43"/>
      <c r="AX24" s="43"/>
      <c r="AY24" s="43"/>
      <c r="AZ24" s="43"/>
      <c r="BA24" s="43"/>
      <c r="BB24" s="43" t="str">
        <f t="shared" si="47"/>
        <v/>
      </c>
      <c r="BC24" s="43" t="str">
        <f t="shared" si="47"/>
        <v/>
      </c>
      <c r="BD24" s="43"/>
      <c r="BE24" s="43"/>
      <c r="BF24" s="44" t="str">
        <f t="shared" si="2"/>
        <v/>
      </c>
      <c r="CE24" s="67"/>
      <c r="CQ24" s="41" t="str">
        <f t="shared" si="48"/>
        <v/>
      </c>
      <c r="CR24" s="39" t="str">
        <f t="shared" si="48"/>
        <v/>
      </c>
      <c r="CS24" s="39" t="str">
        <f t="shared" si="48"/>
        <v/>
      </c>
      <c r="CT24" s="39" t="str">
        <f t="shared" si="48"/>
        <v/>
      </c>
      <c r="CU24" s="39" t="str">
        <f t="shared" si="48"/>
        <v/>
      </c>
      <c r="CV24" s="39" t="str">
        <f t="shared" si="48"/>
        <v/>
      </c>
      <c r="CW24" s="39" t="str">
        <f t="shared" si="48"/>
        <v/>
      </c>
      <c r="CX24" s="39" t="str">
        <f t="shared" si="48"/>
        <v/>
      </c>
      <c r="DD24" s="39" t="str">
        <f t="shared" si="49"/>
        <v/>
      </c>
      <c r="DE24" s="39" t="str">
        <f t="shared" si="49"/>
        <v/>
      </c>
      <c r="DH24" s="39" t="str">
        <f t="shared" si="5"/>
        <v/>
      </c>
      <c r="EA24" s="45"/>
      <c r="EB24" s="46"/>
      <c r="EC24" s="46"/>
      <c r="ED24" s="46"/>
      <c r="EE24" s="46"/>
      <c r="EF24" s="46"/>
      <c r="EG24" s="46"/>
      <c r="EH24" s="46"/>
      <c r="EI24" s="46"/>
      <c r="EJ24" s="46"/>
      <c r="EK24" s="46"/>
      <c r="EL24" s="46"/>
      <c r="EM24" s="46"/>
      <c r="EN24" s="46"/>
      <c r="EO24" s="46"/>
      <c r="EP24" s="46"/>
      <c r="EQ24" s="46"/>
      <c r="ER24" s="40"/>
      <c r="ES24" s="45" t="str">
        <f t="shared" si="50"/>
        <v/>
      </c>
      <c r="ET24" s="46" t="str">
        <f t="shared" si="50"/>
        <v/>
      </c>
      <c r="EU24" s="46" t="str">
        <f t="shared" si="50"/>
        <v/>
      </c>
      <c r="EV24" s="46" t="str">
        <f t="shared" si="50"/>
        <v/>
      </c>
      <c r="EW24" s="46" t="str">
        <f t="shared" si="50"/>
        <v/>
      </c>
      <c r="EX24" s="46" t="str">
        <f t="shared" si="50"/>
        <v/>
      </c>
      <c r="EY24" s="46" t="str">
        <f t="shared" si="50"/>
        <v/>
      </c>
      <c r="EZ24" s="46" t="str">
        <f t="shared" si="50"/>
        <v/>
      </c>
      <c r="FA24" s="46"/>
      <c r="FB24" s="46"/>
      <c r="FC24" s="46"/>
      <c r="FD24" s="46"/>
      <c r="FE24" s="46"/>
      <c r="FF24" s="46" t="str">
        <f t="shared" si="51"/>
        <v/>
      </c>
      <c r="FG24" s="46" t="str">
        <f t="shared" si="51"/>
        <v/>
      </c>
      <c r="FH24" s="46"/>
      <c r="FI24" s="46"/>
      <c r="FJ24" s="46" t="str">
        <f t="shared" si="10"/>
        <v/>
      </c>
      <c r="FK24" s="45"/>
      <c r="FL24" s="46"/>
      <c r="FM24" s="46"/>
      <c r="FN24" s="46"/>
      <c r="FO24" s="46"/>
      <c r="FP24" s="46"/>
      <c r="FQ24" s="46"/>
      <c r="FR24" s="46"/>
      <c r="FS24" s="46"/>
      <c r="FT24" s="46"/>
      <c r="FU24" s="46"/>
      <c r="FV24" s="46"/>
      <c r="FW24" s="46"/>
      <c r="FX24" s="46"/>
      <c r="FY24" s="46"/>
      <c r="FZ24" s="46"/>
      <c r="GA24" s="46"/>
      <c r="GB24" s="40"/>
      <c r="GC24" s="45"/>
      <c r="GD24" s="46"/>
      <c r="GE24" s="46"/>
      <c r="GF24" s="46"/>
      <c r="GG24" s="46"/>
      <c r="GH24" s="46"/>
      <c r="GI24" s="46"/>
      <c r="GJ24" s="46"/>
      <c r="GK24" s="46"/>
      <c r="GL24" s="46"/>
      <c r="GM24" s="46"/>
      <c r="GN24" s="46"/>
      <c r="GO24" s="46"/>
      <c r="GP24" s="46"/>
      <c r="GQ24" s="46"/>
      <c r="GR24" s="46"/>
      <c r="GS24" s="46"/>
      <c r="GT24" s="40"/>
      <c r="GU24" s="45"/>
      <c r="GV24" s="46"/>
      <c r="GW24" s="46"/>
      <c r="GX24" s="46"/>
      <c r="GY24" s="46"/>
      <c r="GZ24" s="46"/>
      <c r="HA24" s="46"/>
      <c r="HB24" s="46"/>
      <c r="HC24" s="46"/>
      <c r="HD24" s="46"/>
      <c r="HE24" s="46"/>
      <c r="HF24" s="46"/>
      <c r="HG24" s="46"/>
      <c r="HH24" s="46"/>
      <c r="HI24" s="46"/>
      <c r="HJ24" s="46"/>
      <c r="HK24" s="46"/>
      <c r="HL24" s="40"/>
      <c r="HM24" s="45" t="str">
        <f t="shared" si="52"/>
        <v/>
      </c>
      <c r="HN24" s="46" t="str">
        <f t="shared" si="52"/>
        <v/>
      </c>
      <c r="HO24" s="46" t="str">
        <f t="shared" si="52"/>
        <v/>
      </c>
      <c r="HP24" s="46" t="str">
        <f t="shared" si="52"/>
        <v/>
      </c>
      <c r="HQ24" s="46" t="str">
        <f t="shared" si="52"/>
        <v/>
      </c>
      <c r="HR24" s="46" t="str">
        <f t="shared" si="52"/>
        <v/>
      </c>
      <c r="HS24" s="46" t="str">
        <f t="shared" si="52"/>
        <v/>
      </c>
      <c r="HT24" s="46" t="str">
        <f t="shared" si="52"/>
        <v/>
      </c>
      <c r="HU24" s="46"/>
      <c r="HV24" s="46"/>
      <c r="HW24" s="46"/>
      <c r="HX24" s="46"/>
      <c r="HY24" s="46"/>
      <c r="HZ24" s="46" t="str">
        <f t="shared" si="53"/>
        <v/>
      </c>
      <c r="IA24" s="46" t="str">
        <f t="shared" si="53"/>
        <v/>
      </c>
      <c r="IB24" s="46"/>
      <c r="IC24" s="46"/>
      <c r="ID24" s="46" t="str">
        <f t="shared" si="13"/>
        <v/>
      </c>
      <c r="IE24" s="47" t="str">
        <f t="shared" si="54"/>
        <v/>
      </c>
      <c r="IF24" s="48" t="str">
        <f t="shared" si="54"/>
        <v/>
      </c>
      <c r="IG24" s="48" t="str">
        <f t="shared" si="54"/>
        <v/>
      </c>
      <c r="IH24" s="48" t="str">
        <f t="shared" si="54"/>
        <v/>
      </c>
      <c r="II24" s="48" t="str">
        <f t="shared" si="54"/>
        <v/>
      </c>
      <c r="IJ24" s="48" t="str">
        <f t="shared" si="54"/>
        <v/>
      </c>
      <c r="IK24" s="48" t="str">
        <f t="shared" si="54"/>
        <v/>
      </c>
      <c r="IL24" s="48" t="str">
        <f t="shared" si="54"/>
        <v/>
      </c>
      <c r="IM24" s="48"/>
      <c r="IN24" s="48"/>
      <c r="IO24" s="48"/>
      <c r="IP24" s="48"/>
      <c r="IQ24" s="48"/>
      <c r="IR24" s="48" t="str">
        <f t="shared" si="55"/>
        <v/>
      </c>
      <c r="IS24" s="48" t="str">
        <f t="shared" si="55"/>
        <v/>
      </c>
      <c r="IT24" s="48"/>
      <c r="IU24" s="48"/>
      <c r="IV24" s="48" t="str">
        <f t="shared" si="16"/>
        <v/>
      </c>
      <c r="IW24" s="47" t="str">
        <f t="shared" si="17"/>
        <v/>
      </c>
      <c r="IX24" s="48" t="str">
        <f t="shared" si="17"/>
        <v/>
      </c>
      <c r="IY24" s="48" t="str">
        <f t="shared" si="17"/>
        <v/>
      </c>
      <c r="IZ24" s="48" t="str">
        <f t="shared" si="17"/>
        <v/>
      </c>
      <c r="JA24" s="48" t="str">
        <f t="shared" si="17"/>
        <v/>
      </c>
      <c r="JB24" s="48" t="str">
        <f t="shared" si="17"/>
        <v/>
      </c>
      <c r="JC24" s="48" t="str">
        <f t="shared" si="17"/>
        <v/>
      </c>
      <c r="JD24" s="48" t="str">
        <f t="shared" si="17"/>
        <v/>
      </c>
      <c r="JE24" s="48" t="str">
        <f t="shared" si="17"/>
        <v/>
      </c>
      <c r="JF24" s="48" t="str">
        <f t="shared" si="17"/>
        <v/>
      </c>
      <c r="JG24" s="48" t="str">
        <f t="shared" si="17"/>
        <v/>
      </c>
      <c r="JH24" s="48" t="str">
        <f t="shared" si="17"/>
        <v/>
      </c>
      <c r="JI24" s="48"/>
      <c r="JJ24" s="48" t="str">
        <f t="shared" si="18"/>
        <v/>
      </c>
      <c r="JK24" s="48" t="str">
        <f t="shared" si="18"/>
        <v/>
      </c>
      <c r="JL24" s="48" t="str">
        <f t="shared" si="18"/>
        <v/>
      </c>
      <c r="JM24" s="48"/>
      <c r="JN24" s="48" t="str">
        <f t="shared" si="19"/>
        <v/>
      </c>
      <c r="JO24" s="47" t="str">
        <f t="shared" si="56"/>
        <v/>
      </c>
      <c r="JP24" s="48" t="str">
        <f t="shared" si="56"/>
        <v/>
      </c>
      <c r="JQ24" s="48" t="str">
        <f t="shared" si="56"/>
        <v/>
      </c>
      <c r="JR24" s="48" t="str">
        <f t="shared" si="56"/>
        <v/>
      </c>
      <c r="JS24" s="48" t="str">
        <f t="shared" si="56"/>
        <v/>
      </c>
      <c r="JT24" s="48" t="str">
        <f t="shared" si="56"/>
        <v/>
      </c>
      <c r="JU24" s="48" t="str">
        <f t="shared" si="56"/>
        <v/>
      </c>
      <c r="JV24" s="48" t="str">
        <f t="shared" si="56"/>
        <v/>
      </c>
      <c r="JW24" s="48"/>
      <c r="JX24" s="48"/>
      <c r="JY24" s="48"/>
      <c r="JZ24" s="48"/>
      <c r="KA24" s="48"/>
      <c r="KB24" s="48" t="str">
        <f t="shared" si="57"/>
        <v/>
      </c>
      <c r="KC24" s="48" t="str">
        <f t="shared" si="57"/>
        <v/>
      </c>
      <c r="KD24" s="48"/>
      <c r="KE24" s="48"/>
      <c r="KF24" s="48" t="str">
        <f t="shared" si="23"/>
        <v/>
      </c>
      <c r="KG24" s="49" t="str">
        <f t="shared" si="24"/>
        <v/>
      </c>
      <c r="KH24" s="38"/>
      <c r="KI24" s="49" t="str">
        <f t="shared" si="25"/>
        <v/>
      </c>
      <c r="KJ24" s="38"/>
      <c r="KK24" s="51" t="str">
        <f t="shared" si="26"/>
        <v/>
      </c>
      <c r="KL24" s="52" t="str">
        <f t="shared" si="27"/>
        <v/>
      </c>
      <c r="KM24" s="52" t="str">
        <f t="shared" si="28"/>
        <v/>
      </c>
      <c r="KN24" s="52" t="str">
        <f t="shared" si="29"/>
        <v/>
      </c>
      <c r="KO24" s="53" t="str">
        <f t="shared" si="30"/>
        <v/>
      </c>
      <c r="KP24" s="54"/>
      <c r="KQ24" s="53" t="str">
        <f t="shared" si="58"/>
        <v/>
      </c>
      <c r="KR24" s="54" t="str">
        <f t="shared" si="38"/>
        <v/>
      </c>
      <c r="KS24" s="53" t="str">
        <f t="shared" si="32"/>
        <v/>
      </c>
      <c r="KT24" s="54"/>
      <c r="KV24" s="68">
        <v>1</v>
      </c>
      <c r="LA24" s="37" t="s">
        <v>93</v>
      </c>
      <c r="LD24" s="58"/>
      <c r="LE24" s="12"/>
      <c r="LF24" s="59" t="s">
        <v>187</v>
      </c>
    </row>
    <row r="25" spans="1:318" x14ac:dyDescent="0.25">
      <c r="A25" s="36" t="s">
        <v>188</v>
      </c>
      <c r="B25" s="37" t="s">
        <v>189</v>
      </c>
      <c r="C25" s="37" t="str">
        <f>INDEX('[1]Property Summary'!AB:AB,MATCH($A25,'[1]Property Summary'!$F:$F,FALSE))</f>
        <v>Vault Portfolio</v>
      </c>
      <c r="D25" s="38"/>
      <c r="AO25" s="42" t="str">
        <f t="shared" si="46"/>
        <v/>
      </c>
      <c r="AP25" s="43" t="str">
        <f t="shared" si="46"/>
        <v/>
      </c>
      <c r="AQ25" s="43" t="str">
        <f t="shared" si="46"/>
        <v/>
      </c>
      <c r="AR25" s="43" t="str">
        <f t="shared" si="46"/>
        <v/>
      </c>
      <c r="AS25" s="43" t="str">
        <f t="shared" si="46"/>
        <v/>
      </c>
      <c r="AT25" s="43" t="str">
        <f t="shared" si="46"/>
        <v/>
      </c>
      <c r="AU25" s="43" t="str">
        <f t="shared" si="46"/>
        <v/>
      </c>
      <c r="AV25" s="43" t="str">
        <f t="shared" si="46"/>
        <v/>
      </c>
      <c r="AW25" s="43"/>
      <c r="AX25" s="43"/>
      <c r="AY25" s="43"/>
      <c r="AZ25" s="43"/>
      <c r="BA25" s="43"/>
      <c r="BB25" s="43" t="str">
        <f t="shared" si="47"/>
        <v/>
      </c>
      <c r="BC25" s="43" t="str">
        <f t="shared" si="47"/>
        <v/>
      </c>
      <c r="BD25" s="43"/>
      <c r="BE25" s="43"/>
      <c r="BF25" s="44" t="str">
        <f t="shared" si="2"/>
        <v/>
      </c>
      <c r="CQ25" s="41" t="str">
        <f t="shared" si="48"/>
        <v/>
      </c>
      <c r="CR25" s="39" t="str">
        <f t="shared" si="48"/>
        <v/>
      </c>
      <c r="CS25" s="39" t="str">
        <f t="shared" si="48"/>
        <v/>
      </c>
      <c r="CT25" s="39" t="str">
        <f t="shared" si="48"/>
        <v/>
      </c>
      <c r="CU25" s="39" t="str">
        <f t="shared" si="48"/>
        <v/>
      </c>
      <c r="CV25" s="39" t="str">
        <f t="shared" si="48"/>
        <v/>
      </c>
      <c r="CW25" s="39" t="str">
        <f t="shared" si="48"/>
        <v/>
      </c>
      <c r="CX25" s="39" t="str">
        <f t="shared" si="48"/>
        <v/>
      </c>
      <c r="DD25" s="39" t="str">
        <f t="shared" si="49"/>
        <v/>
      </c>
      <c r="DE25" s="39" t="str">
        <f t="shared" si="49"/>
        <v/>
      </c>
      <c r="DH25" s="39" t="str">
        <f t="shared" si="5"/>
        <v/>
      </c>
      <c r="EA25" s="45"/>
      <c r="EB25" s="46"/>
      <c r="EC25" s="46"/>
      <c r="ED25" s="46"/>
      <c r="EE25" s="46"/>
      <c r="EF25" s="46"/>
      <c r="EG25" s="46"/>
      <c r="EH25" s="46"/>
      <c r="EI25" s="46"/>
      <c r="EJ25" s="46"/>
      <c r="EK25" s="46"/>
      <c r="EL25" s="46"/>
      <c r="EM25" s="46"/>
      <c r="EN25" s="46"/>
      <c r="EO25" s="46"/>
      <c r="EP25" s="46"/>
      <c r="EQ25" s="46"/>
      <c r="ER25" s="40"/>
      <c r="ES25" s="45" t="str">
        <f t="shared" si="50"/>
        <v/>
      </c>
      <c r="ET25" s="46" t="str">
        <f t="shared" si="50"/>
        <v/>
      </c>
      <c r="EU25" s="46" t="str">
        <f t="shared" si="50"/>
        <v/>
      </c>
      <c r="EV25" s="46" t="str">
        <f t="shared" si="50"/>
        <v/>
      </c>
      <c r="EW25" s="46" t="str">
        <f t="shared" si="50"/>
        <v/>
      </c>
      <c r="EX25" s="46" t="str">
        <f t="shared" si="50"/>
        <v/>
      </c>
      <c r="EY25" s="46" t="str">
        <f t="shared" si="50"/>
        <v/>
      </c>
      <c r="EZ25" s="46" t="str">
        <f t="shared" si="50"/>
        <v/>
      </c>
      <c r="FA25" s="46"/>
      <c r="FB25" s="46"/>
      <c r="FC25" s="46"/>
      <c r="FD25" s="46"/>
      <c r="FE25" s="46"/>
      <c r="FF25" s="46" t="str">
        <f t="shared" si="51"/>
        <v/>
      </c>
      <c r="FG25" s="46" t="str">
        <f t="shared" si="51"/>
        <v/>
      </c>
      <c r="FH25" s="46"/>
      <c r="FI25" s="46"/>
      <c r="FJ25" s="46" t="str">
        <f t="shared" si="10"/>
        <v/>
      </c>
      <c r="FK25" s="45"/>
      <c r="FL25" s="46"/>
      <c r="FM25" s="46"/>
      <c r="FN25" s="46"/>
      <c r="FO25" s="46"/>
      <c r="FP25" s="46"/>
      <c r="FQ25" s="46"/>
      <c r="FR25" s="46"/>
      <c r="FS25" s="46"/>
      <c r="FT25" s="46"/>
      <c r="FU25" s="46"/>
      <c r="FV25" s="46"/>
      <c r="FW25" s="46"/>
      <c r="FX25" s="46"/>
      <c r="FY25" s="46"/>
      <c r="FZ25" s="46"/>
      <c r="GA25" s="46"/>
      <c r="GB25" s="40"/>
      <c r="GC25" s="45"/>
      <c r="GD25" s="46"/>
      <c r="GE25" s="46"/>
      <c r="GF25" s="46"/>
      <c r="GG25" s="46"/>
      <c r="GH25" s="46"/>
      <c r="GI25" s="46"/>
      <c r="GJ25" s="46"/>
      <c r="GK25" s="46"/>
      <c r="GL25" s="46"/>
      <c r="GM25" s="46"/>
      <c r="GN25" s="46"/>
      <c r="GO25" s="46"/>
      <c r="GP25" s="46"/>
      <c r="GQ25" s="46"/>
      <c r="GR25" s="46"/>
      <c r="GS25" s="46"/>
      <c r="GT25" s="40"/>
      <c r="GU25" s="45"/>
      <c r="GV25" s="46"/>
      <c r="GW25" s="46"/>
      <c r="GX25" s="46"/>
      <c r="GY25" s="46"/>
      <c r="GZ25" s="46"/>
      <c r="HA25" s="46"/>
      <c r="HB25" s="46"/>
      <c r="HC25" s="46"/>
      <c r="HD25" s="46"/>
      <c r="HE25" s="46"/>
      <c r="HF25" s="46"/>
      <c r="HG25" s="46"/>
      <c r="HH25" s="46"/>
      <c r="HI25" s="46"/>
      <c r="HJ25" s="46"/>
      <c r="HK25" s="46"/>
      <c r="HL25" s="40"/>
      <c r="HM25" s="45" t="str">
        <f t="shared" si="52"/>
        <v/>
      </c>
      <c r="HN25" s="46" t="str">
        <f t="shared" si="52"/>
        <v/>
      </c>
      <c r="HO25" s="46" t="str">
        <f t="shared" si="52"/>
        <v/>
      </c>
      <c r="HP25" s="46" t="str">
        <f t="shared" si="52"/>
        <v/>
      </c>
      <c r="HQ25" s="46" t="str">
        <f t="shared" si="52"/>
        <v/>
      </c>
      <c r="HR25" s="46" t="str">
        <f t="shared" si="52"/>
        <v/>
      </c>
      <c r="HS25" s="46" t="str">
        <f t="shared" si="52"/>
        <v/>
      </c>
      <c r="HT25" s="46" t="str">
        <f t="shared" si="52"/>
        <v/>
      </c>
      <c r="HU25" s="46"/>
      <c r="HV25" s="46"/>
      <c r="HW25" s="46"/>
      <c r="HX25" s="46"/>
      <c r="HY25" s="46"/>
      <c r="HZ25" s="46" t="str">
        <f t="shared" si="53"/>
        <v/>
      </c>
      <c r="IA25" s="46" t="str">
        <f t="shared" si="53"/>
        <v/>
      </c>
      <c r="IB25" s="46"/>
      <c r="IC25" s="46"/>
      <c r="ID25" s="46" t="str">
        <f t="shared" si="13"/>
        <v/>
      </c>
      <c r="IE25" s="47" t="str">
        <f t="shared" si="54"/>
        <v/>
      </c>
      <c r="IF25" s="48" t="str">
        <f t="shared" si="54"/>
        <v/>
      </c>
      <c r="IG25" s="48" t="str">
        <f t="shared" si="54"/>
        <v/>
      </c>
      <c r="IH25" s="48" t="str">
        <f t="shared" si="54"/>
        <v/>
      </c>
      <c r="II25" s="48" t="str">
        <f t="shared" si="54"/>
        <v/>
      </c>
      <c r="IJ25" s="48" t="str">
        <f t="shared" si="54"/>
        <v/>
      </c>
      <c r="IK25" s="48" t="str">
        <f t="shared" si="54"/>
        <v/>
      </c>
      <c r="IL25" s="48" t="str">
        <f t="shared" si="54"/>
        <v/>
      </c>
      <c r="IM25" s="48"/>
      <c r="IN25" s="48"/>
      <c r="IO25" s="48"/>
      <c r="IP25" s="48"/>
      <c r="IQ25" s="48"/>
      <c r="IR25" s="48" t="str">
        <f t="shared" si="55"/>
        <v/>
      </c>
      <c r="IS25" s="48" t="str">
        <f t="shared" si="55"/>
        <v/>
      </c>
      <c r="IT25" s="48"/>
      <c r="IU25" s="48"/>
      <c r="IV25" s="48" t="str">
        <f t="shared" si="16"/>
        <v/>
      </c>
      <c r="IW25" s="47" t="str">
        <f t="shared" si="17"/>
        <v/>
      </c>
      <c r="IX25" s="48" t="str">
        <f t="shared" si="17"/>
        <v/>
      </c>
      <c r="IY25" s="48" t="str">
        <f t="shared" si="17"/>
        <v/>
      </c>
      <c r="IZ25" s="48" t="str">
        <f t="shared" ref="IZ25:JH48" si="59">IFERROR(ED25/(Z25*4),"")</f>
        <v/>
      </c>
      <c r="JA25" s="48" t="str">
        <f t="shared" si="59"/>
        <v/>
      </c>
      <c r="JB25" s="48" t="str">
        <f t="shared" si="59"/>
        <v/>
      </c>
      <c r="JC25" s="48" t="str">
        <f t="shared" si="59"/>
        <v/>
      </c>
      <c r="JD25" s="48" t="str">
        <f t="shared" si="59"/>
        <v/>
      </c>
      <c r="JE25" s="48" t="str">
        <f t="shared" si="59"/>
        <v/>
      </c>
      <c r="JF25" s="48" t="str">
        <f t="shared" si="59"/>
        <v/>
      </c>
      <c r="JG25" s="48" t="str">
        <f t="shared" si="59"/>
        <v/>
      </c>
      <c r="JH25" s="48" t="str">
        <f t="shared" si="59"/>
        <v/>
      </c>
      <c r="JI25" s="48"/>
      <c r="JJ25" s="48" t="str">
        <f t="shared" si="18"/>
        <v/>
      </c>
      <c r="JK25" s="48" t="str">
        <f t="shared" si="18"/>
        <v/>
      </c>
      <c r="JL25" s="48" t="str">
        <f t="shared" si="18"/>
        <v/>
      </c>
      <c r="JM25" s="48"/>
      <c r="JN25" s="48" t="str">
        <f t="shared" si="19"/>
        <v/>
      </c>
      <c r="JO25" s="47" t="str">
        <f t="shared" si="56"/>
        <v/>
      </c>
      <c r="JP25" s="48" t="str">
        <f t="shared" si="56"/>
        <v/>
      </c>
      <c r="JQ25" s="48" t="str">
        <f t="shared" si="56"/>
        <v/>
      </c>
      <c r="JR25" s="48" t="str">
        <f t="shared" si="56"/>
        <v/>
      </c>
      <c r="JS25" s="48" t="str">
        <f t="shared" si="56"/>
        <v/>
      </c>
      <c r="JT25" s="48" t="str">
        <f t="shared" si="56"/>
        <v/>
      </c>
      <c r="JU25" s="48" t="str">
        <f t="shared" si="56"/>
        <v/>
      </c>
      <c r="JV25" s="48" t="str">
        <f t="shared" si="56"/>
        <v/>
      </c>
      <c r="JW25" s="48"/>
      <c r="JX25" s="48"/>
      <c r="JY25" s="48"/>
      <c r="JZ25" s="48"/>
      <c r="KA25" s="48"/>
      <c r="KB25" s="48" t="str">
        <f t="shared" si="57"/>
        <v/>
      </c>
      <c r="KC25" s="48" t="str">
        <f t="shared" si="57"/>
        <v/>
      </c>
      <c r="KD25" s="48"/>
      <c r="KE25" s="48"/>
      <c r="KF25" s="48" t="str">
        <f t="shared" si="23"/>
        <v/>
      </c>
      <c r="KG25" s="49" t="str">
        <f t="shared" si="24"/>
        <v/>
      </c>
      <c r="KH25" s="38"/>
      <c r="KI25" s="49" t="str">
        <f t="shared" si="25"/>
        <v/>
      </c>
      <c r="KJ25" s="38"/>
      <c r="KK25" s="51" t="str">
        <f t="shared" si="26"/>
        <v/>
      </c>
      <c r="KL25" s="52" t="str">
        <f t="shared" si="27"/>
        <v/>
      </c>
      <c r="KM25" s="52" t="str">
        <f t="shared" si="28"/>
        <v/>
      </c>
      <c r="KN25" s="52" t="str">
        <f t="shared" si="29"/>
        <v/>
      </c>
      <c r="KO25" s="53" t="str">
        <f t="shared" si="30"/>
        <v/>
      </c>
      <c r="KP25" s="54"/>
      <c r="KQ25" s="53" t="str">
        <f t="shared" si="58"/>
        <v/>
      </c>
      <c r="KR25" s="54" t="str">
        <f t="shared" si="38"/>
        <v/>
      </c>
      <c r="KS25" s="53" t="str">
        <f t="shared" si="32"/>
        <v/>
      </c>
      <c r="KT25" s="54"/>
      <c r="KV25" s="68">
        <v>1</v>
      </c>
      <c r="LA25" s="37" t="s">
        <v>93</v>
      </c>
      <c r="LD25" s="58"/>
      <c r="LE25" s="12"/>
      <c r="LF25" s="59" t="s">
        <v>190</v>
      </c>
    </row>
    <row r="26" spans="1:318" x14ac:dyDescent="0.25">
      <c r="A26" s="36" t="s">
        <v>191</v>
      </c>
      <c r="B26" s="37" t="s">
        <v>192</v>
      </c>
      <c r="C26" s="37" t="str">
        <f>INDEX('[1]Property Summary'!AB:AB,MATCH($A26,'[1]Property Summary'!$F:$F,FALSE))</f>
        <v>Vault Portfolio</v>
      </c>
      <c r="D26" s="38"/>
      <c r="AO26" s="42" t="str">
        <f t="shared" si="46"/>
        <v/>
      </c>
      <c r="AP26" s="43" t="str">
        <f t="shared" si="46"/>
        <v/>
      </c>
      <c r="AQ26" s="43" t="str">
        <f t="shared" si="46"/>
        <v/>
      </c>
      <c r="AR26" s="43" t="str">
        <f t="shared" si="46"/>
        <v/>
      </c>
      <c r="AS26" s="43" t="str">
        <f t="shared" si="46"/>
        <v/>
      </c>
      <c r="AT26" s="43" t="str">
        <f t="shared" si="46"/>
        <v/>
      </c>
      <c r="AU26" s="43" t="str">
        <f t="shared" si="46"/>
        <v/>
      </c>
      <c r="AV26" s="43" t="str">
        <f t="shared" si="46"/>
        <v/>
      </c>
      <c r="AW26" s="43"/>
      <c r="AX26" s="43"/>
      <c r="AY26" s="43"/>
      <c r="AZ26" s="43"/>
      <c r="BA26" s="43"/>
      <c r="BB26" s="43" t="str">
        <f t="shared" si="47"/>
        <v/>
      </c>
      <c r="BC26" s="43" t="str">
        <f t="shared" si="47"/>
        <v/>
      </c>
      <c r="BD26" s="43"/>
      <c r="BE26" s="43"/>
      <c r="BF26" s="44" t="str">
        <f t="shared" si="2"/>
        <v/>
      </c>
      <c r="CQ26" s="41" t="str">
        <f t="shared" si="48"/>
        <v/>
      </c>
      <c r="CR26" s="39" t="str">
        <f t="shared" si="48"/>
        <v/>
      </c>
      <c r="CS26" s="39" t="str">
        <f t="shared" si="48"/>
        <v/>
      </c>
      <c r="CT26" s="39" t="str">
        <f t="shared" si="48"/>
        <v/>
      </c>
      <c r="CU26" s="39" t="str">
        <f t="shared" si="48"/>
        <v/>
      </c>
      <c r="CV26" s="39" t="str">
        <f t="shared" si="48"/>
        <v/>
      </c>
      <c r="CW26" s="39" t="str">
        <f t="shared" si="48"/>
        <v/>
      </c>
      <c r="CX26" s="39" t="str">
        <f t="shared" si="48"/>
        <v/>
      </c>
      <c r="DD26" s="39" t="str">
        <f t="shared" si="49"/>
        <v/>
      </c>
      <c r="DE26" s="39" t="str">
        <f t="shared" si="49"/>
        <v/>
      </c>
      <c r="DH26" s="39" t="str">
        <f t="shared" si="5"/>
        <v/>
      </c>
      <c r="EA26" s="45"/>
      <c r="EB26" s="46"/>
      <c r="EC26" s="46"/>
      <c r="ED26" s="46"/>
      <c r="EE26" s="46"/>
      <c r="EF26" s="46"/>
      <c r="EG26" s="46"/>
      <c r="EH26" s="46"/>
      <c r="EI26" s="46"/>
      <c r="EJ26" s="46"/>
      <c r="EK26" s="46"/>
      <c r="EL26" s="46"/>
      <c r="EM26" s="46"/>
      <c r="EN26" s="46"/>
      <c r="EO26" s="46"/>
      <c r="EP26" s="46"/>
      <c r="EQ26" s="46"/>
      <c r="ER26" s="40"/>
      <c r="ES26" s="45" t="str">
        <f t="shared" si="50"/>
        <v/>
      </c>
      <c r="ET26" s="46" t="str">
        <f t="shared" si="50"/>
        <v/>
      </c>
      <c r="EU26" s="46" t="str">
        <f t="shared" si="50"/>
        <v/>
      </c>
      <c r="EV26" s="46" t="str">
        <f t="shared" si="50"/>
        <v/>
      </c>
      <c r="EW26" s="46" t="str">
        <f t="shared" si="50"/>
        <v/>
      </c>
      <c r="EX26" s="46" t="str">
        <f t="shared" si="50"/>
        <v/>
      </c>
      <c r="EY26" s="46" t="str">
        <f t="shared" si="50"/>
        <v/>
      </c>
      <c r="EZ26" s="46" t="str">
        <f t="shared" si="50"/>
        <v/>
      </c>
      <c r="FA26" s="46"/>
      <c r="FB26" s="46"/>
      <c r="FC26" s="46"/>
      <c r="FD26" s="46"/>
      <c r="FE26" s="46"/>
      <c r="FF26" s="46" t="str">
        <f t="shared" si="51"/>
        <v/>
      </c>
      <c r="FG26" s="46" t="str">
        <f t="shared" si="51"/>
        <v/>
      </c>
      <c r="FH26" s="46"/>
      <c r="FI26" s="46"/>
      <c r="FJ26" s="46" t="str">
        <f t="shared" si="10"/>
        <v/>
      </c>
      <c r="FK26" s="45"/>
      <c r="FL26" s="46"/>
      <c r="FM26" s="46"/>
      <c r="FN26" s="46"/>
      <c r="FO26" s="46"/>
      <c r="FP26" s="46"/>
      <c r="FQ26" s="46"/>
      <c r="FR26" s="46"/>
      <c r="FS26" s="46"/>
      <c r="FT26" s="46"/>
      <c r="FU26" s="46"/>
      <c r="FV26" s="46"/>
      <c r="FW26" s="46"/>
      <c r="FX26" s="46"/>
      <c r="FY26" s="46"/>
      <c r="FZ26" s="46"/>
      <c r="GA26" s="46"/>
      <c r="GB26" s="40"/>
      <c r="GC26" s="45"/>
      <c r="GD26" s="46"/>
      <c r="GE26" s="46"/>
      <c r="GF26" s="46"/>
      <c r="GG26" s="46"/>
      <c r="GH26" s="46"/>
      <c r="GI26" s="46"/>
      <c r="GJ26" s="46"/>
      <c r="GK26" s="46"/>
      <c r="GL26" s="46"/>
      <c r="GM26" s="46"/>
      <c r="GN26" s="46"/>
      <c r="GO26" s="46"/>
      <c r="GP26" s="46"/>
      <c r="GQ26" s="46"/>
      <c r="GR26" s="46"/>
      <c r="GS26" s="46"/>
      <c r="GT26" s="40"/>
      <c r="GU26" s="45"/>
      <c r="GV26" s="46"/>
      <c r="GW26" s="46"/>
      <c r="GX26" s="46"/>
      <c r="GY26" s="46"/>
      <c r="GZ26" s="46"/>
      <c r="HA26" s="46"/>
      <c r="HB26" s="46"/>
      <c r="HC26" s="46"/>
      <c r="HD26" s="46"/>
      <c r="HE26" s="46"/>
      <c r="HF26" s="46"/>
      <c r="HG26" s="46"/>
      <c r="HH26" s="46"/>
      <c r="HI26" s="46"/>
      <c r="HJ26" s="46"/>
      <c r="HK26" s="46"/>
      <c r="HL26" s="40"/>
      <c r="HM26" s="45" t="str">
        <f t="shared" si="52"/>
        <v/>
      </c>
      <c r="HN26" s="46" t="str">
        <f t="shared" si="52"/>
        <v/>
      </c>
      <c r="HO26" s="46" t="str">
        <f t="shared" si="52"/>
        <v/>
      </c>
      <c r="HP26" s="46" t="str">
        <f t="shared" si="52"/>
        <v/>
      </c>
      <c r="HQ26" s="46" t="str">
        <f t="shared" si="52"/>
        <v/>
      </c>
      <c r="HR26" s="46" t="str">
        <f t="shared" si="52"/>
        <v/>
      </c>
      <c r="HS26" s="46" t="str">
        <f t="shared" si="52"/>
        <v/>
      </c>
      <c r="HT26" s="46" t="str">
        <f t="shared" si="52"/>
        <v/>
      </c>
      <c r="HU26" s="46"/>
      <c r="HV26" s="46"/>
      <c r="HW26" s="46"/>
      <c r="HX26" s="46"/>
      <c r="HY26" s="46"/>
      <c r="HZ26" s="46" t="str">
        <f t="shared" si="53"/>
        <v/>
      </c>
      <c r="IA26" s="46" t="str">
        <f t="shared" si="53"/>
        <v/>
      </c>
      <c r="IB26" s="46"/>
      <c r="IC26" s="46"/>
      <c r="ID26" s="46" t="str">
        <f t="shared" si="13"/>
        <v/>
      </c>
      <c r="IE26" s="47" t="str">
        <f t="shared" si="54"/>
        <v/>
      </c>
      <c r="IF26" s="48" t="str">
        <f t="shared" si="54"/>
        <v/>
      </c>
      <c r="IG26" s="48" t="str">
        <f t="shared" si="54"/>
        <v/>
      </c>
      <c r="IH26" s="48" t="str">
        <f t="shared" si="54"/>
        <v/>
      </c>
      <c r="II26" s="48" t="str">
        <f t="shared" si="54"/>
        <v/>
      </c>
      <c r="IJ26" s="48" t="str">
        <f t="shared" si="54"/>
        <v/>
      </c>
      <c r="IK26" s="48" t="str">
        <f t="shared" si="54"/>
        <v/>
      </c>
      <c r="IL26" s="48" t="str">
        <f t="shared" si="54"/>
        <v/>
      </c>
      <c r="IM26" s="48"/>
      <c r="IN26" s="48"/>
      <c r="IO26" s="48"/>
      <c r="IP26" s="48"/>
      <c r="IQ26" s="48"/>
      <c r="IR26" s="48" t="str">
        <f t="shared" si="55"/>
        <v/>
      </c>
      <c r="IS26" s="48" t="str">
        <f t="shared" si="55"/>
        <v/>
      </c>
      <c r="IT26" s="48"/>
      <c r="IU26" s="48"/>
      <c r="IV26" s="48" t="str">
        <f t="shared" si="16"/>
        <v/>
      </c>
      <c r="IW26" s="47" t="str">
        <f t="shared" ref="IW26:IY49" si="60">IFERROR(EA26/(W26*4),"")</f>
        <v/>
      </c>
      <c r="IX26" s="48" t="str">
        <f t="shared" si="60"/>
        <v/>
      </c>
      <c r="IY26" s="48" t="str">
        <f t="shared" si="60"/>
        <v/>
      </c>
      <c r="IZ26" s="48" t="str">
        <f t="shared" si="59"/>
        <v/>
      </c>
      <c r="JA26" s="48" t="str">
        <f t="shared" si="59"/>
        <v/>
      </c>
      <c r="JB26" s="48" t="str">
        <f t="shared" si="59"/>
        <v/>
      </c>
      <c r="JC26" s="48" t="str">
        <f t="shared" si="59"/>
        <v/>
      </c>
      <c r="JD26" s="48" t="str">
        <f t="shared" si="59"/>
        <v/>
      </c>
      <c r="JE26" s="48" t="str">
        <f t="shared" si="59"/>
        <v/>
      </c>
      <c r="JF26" s="48" t="str">
        <f t="shared" si="59"/>
        <v/>
      </c>
      <c r="JG26" s="48" t="str">
        <f t="shared" si="59"/>
        <v/>
      </c>
      <c r="JH26" s="48" t="str">
        <f t="shared" si="59"/>
        <v/>
      </c>
      <c r="JI26" s="48"/>
      <c r="JJ26" s="48" t="str">
        <f t="shared" si="18"/>
        <v/>
      </c>
      <c r="JK26" s="48" t="str">
        <f t="shared" si="18"/>
        <v/>
      </c>
      <c r="JL26" s="48" t="str">
        <f t="shared" si="18"/>
        <v/>
      </c>
      <c r="JM26" s="48"/>
      <c r="JN26" s="48" t="str">
        <f t="shared" si="19"/>
        <v/>
      </c>
      <c r="JO26" s="47" t="str">
        <f t="shared" si="56"/>
        <v/>
      </c>
      <c r="JP26" s="48" t="str">
        <f t="shared" si="56"/>
        <v/>
      </c>
      <c r="JQ26" s="48" t="str">
        <f t="shared" si="56"/>
        <v/>
      </c>
      <c r="JR26" s="48" t="str">
        <f t="shared" si="56"/>
        <v/>
      </c>
      <c r="JS26" s="48" t="str">
        <f t="shared" si="56"/>
        <v/>
      </c>
      <c r="JT26" s="48" t="str">
        <f t="shared" si="56"/>
        <v/>
      </c>
      <c r="JU26" s="48" t="str">
        <f t="shared" si="56"/>
        <v/>
      </c>
      <c r="JV26" s="48" t="str">
        <f t="shared" si="56"/>
        <v/>
      </c>
      <c r="JW26" s="48"/>
      <c r="JX26" s="48"/>
      <c r="JY26" s="48"/>
      <c r="JZ26" s="48"/>
      <c r="KA26" s="48"/>
      <c r="KB26" s="48" t="str">
        <f t="shared" si="57"/>
        <v/>
      </c>
      <c r="KC26" s="48" t="str">
        <f t="shared" si="57"/>
        <v/>
      </c>
      <c r="KD26" s="48"/>
      <c r="KE26" s="48"/>
      <c r="KF26" s="48" t="str">
        <f t="shared" si="23"/>
        <v/>
      </c>
      <c r="KG26" s="49" t="str">
        <f t="shared" si="24"/>
        <v/>
      </c>
      <c r="KH26" s="38"/>
      <c r="KI26" s="49" t="str">
        <f t="shared" si="25"/>
        <v/>
      </c>
      <c r="KJ26" s="38"/>
      <c r="KK26" s="51" t="str">
        <f t="shared" si="26"/>
        <v/>
      </c>
      <c r="KL26" s="52" t="str">
        <f t="shared" si="27"/>
        <v/>
      </c>
      <c r="KM26" s="52" t="str">
        <f t="shared" si="28"/>
        <v/>
      </c>
      <c r="KN26" s="52" t="str">
        <f t="shared" si="29"/>
        <v/>
      </c>
      <c r="KO26" s="53" t="str">
        <f t="shared" si="30"/>
        <v/>
      </c>
      <c r="KP26" s="54"/>
      <c r="KQ26" s="53" t="str">
        <f t="shared" si="58"/>
        <v/>
      </c>
      <c r="KR26" s="54" t="str">
        <f t="shared" si="38"/>
        <v/>
      </c>
      <c r="KS26" s="53" t="str">
        <f t="shared" si="32"/>
        <v/>
      </c>
      <c r="KT26" s="54"/>
      <c r="KV26" s="68">
        <v>1</v>
      </c>
      <c r="LA26" s="37" t="s">
        <v>93</v>
      </c>
      <c r="LD26" s="58"/>
      <c r="LE26" s="12"/>
      <c r="LF26" s="59" t="s">
        <v>193</v>
      </c>
    </row>
    <row r="27" spans="1:318" x14ac:dyDescent="0.25">
      <c r="A27" s="36" t="s">
        <v>194</v>
      </c>
      <c r="B27" s="37" t="s">
        <v>195</v>
      </c>
      <c r="C27" s="37" t="str">
        <f>INDEX('[1]Property Summary'!AB:AB,MATCH($A27,'[1]Property Summary'!$F:$F,FALSE))</f>
        <v>IMB Portfolio</v>
      </c>
      <c r="D27" s="38"/>
      <c r="R27" s="39">
        <v>508153</v>
      </c>
      <c r="AJ27" s="39">
        <f>202727+5299</f>
        <v>208026</v>
      </c>
      <c r="AO27" s="42" t="str">
        <f t="shared" si="46"/>
        <v/>
      </c>
      <c r="AP27" s="43" t="str">
        <f t="shared" si="46"/>
        <v/>
      </c>
      <c r="AQ27" s="43" t="str">
        <f t="shared" si="46"/>
        <v/>
      </c>
      <c r="AR27" s="43" t="str">
        <f t="shared" si="46"/>
        <v/>
      </c>
      <c r="AS27" s="43" t="str">
        <f t="shared" si="46"/>
        <v/>
      </c>
      <c r="AT27" s="43" t="str">
        <f t="shared" si="46"/>
        <v/>
      </c>
      <c r="AU27" s="43" t="str">
        <f t="shared" si="46"/>
        <v/>
      </c>
      <c r="AV27" s="43" t="str">
        <f t="shared" si="46"/>
        <v/>
      </c>
      <c r="AW27" s="43"/>
      <c r="AX27" s="43"/>
      <c r="AY27" s="43"/>
      <c r="AZ27" s="43"/>
      <c r="BA27" s="43"/>
      <c r="BB27" s="43">
        <f t="shared" si="47"/>
        <v>0.40937670347316657</v>
      </c>
      <c r="BC27" s="43" t="str">
        <f t="shared" si="47"/>
        <v/>
      </c>
      <c r="BD27" s="43"/>
      <c r="BE27" s="43"/>
      <c r="BF27" s="44" t="str">
        <f t="shared" si="2"/>
        <v/>
      </c>
      <c r="BT27" s="39">
        <v>65537</v>
      </c>
      <c r="CL27" s="39">
        <f>1703+4536</f>
        <v>6239</v>
      </c>
      <c r="CQ27" s="41" t="str">
        <f t="shared" si="48"/>
        <v/>
      </c>
      <c r="CR27" s="39" t="str">
        <f t="shared" si="48"/>
        <v/>
      </c>
      <c r="CS27" s="39" t="str">
        <f t="shared" si="48"/>
        <v/>
      </c>
      <c r="CT27" s="39" t="str">
        <f t="shared" si="48"/>
        <v/>
      </c>
      <c r="CU27" s="39" t="str">
        <f t="shared" si="48"/>
        <v/>
      </c>
      <c r="CV27" s="39" t="str">
        <f t="shared" si="48"/>
        <v/>
      </c>
      <c r="CW27" s="39" t="str">
        <f t="shared" si="48"/>
        <v/>
      </c>
      <c r="CX27" s="39" t="str">
        <f t="shared" si="48"/>
        <v/>
      </c>
      <c r="DD27" s="39">
        <f t="shared" si="49"/>
        <v>214265</v>
      </c>
      <c r="DE27" s="39" t="str">
        <f t="shared" si="49"/>
        <v/>
      </c>
      <c r="DH27" s="39" t="str">
        <f t="shared" si="5"/>
        <v/>
      </c>
      <c r="DV27" s="39">
        <f>1406+1070+532+92169</f>
        <v>95177</v>
      </c>
      <c r="DZ27" s="40">
        <f>DV27</f>
        <v>95177</v>
      </c>
      <c r="EA27" s="45"/>
      <c r="EB27" s="46"/>
      <c r="EC27" s="46"/>
      <c r="ED27" s="46"/>
      <c r="EE27" s="46"/>
      <c r="EF27" s="46"/>
      <c r="EG27" s="46"/>
      <c r="EH27" s="46"/>
      <c r="EI27" s="46"/>
      <c r="EJ27" s="46"/>
      <c r="EK27" s="46"/>
      <c r="EL27" s="46"/>
      <c r="EM27" s="46"/>
      <c r="EN27" s="46">
        <f>10000+13887+178804+649185</f>
        <v>851876</v>
      </c>
      <c r="EO27" s="46"/>
      <c r="EP27" s="46"/>
      <c r="EQ27" s="46"/>
      <c r="ER27" s="40">
        <f>EN27</f>
        <v>851876</v>
      </c>
      <c r="ES27" s="45" t="str">
        <f t="shared" si="50"/>
        <v/>
      </c>
      <c r="ET27" s="46" t="str">
        <f t="shared" si="50"/>
        <v/>
      </c>
      <c r="EU27" s="46" t="str">
        <f t="shared" si="50"/>
        <v/>
      </c>
      <c r="EV27" s="46" t="str">
        <f t="shared" si="50"/>
        <v/>
      </c>
      <c r="EW27" s="46" t="str">
        <f t="shared" si="50"/>
        <v/>
      </c>
      <c r="EX27" s="46" t="str">
        <f t="shared" si="50"/>
        <v/>
      </c>
      <c r="EY27" s="46" t="str">
        <f t="shared" si="50"/>
        <v/>
      </c>
      <c r="EZ27" s="46" t="str">
        <f t="shared" si="50"/>
        <v/>
      </c>
      <c r="FA27" s="46"/>
      <c r="FB27" s="46"/>
      <c r="FC27" s="46"/>
      <c r="FD27" s="46"/>
      <c r="FE27" s="46"/>
      <c r="FF27" s="46">
        <f t="shared" si="51"/>
        <v>947053</v>
      </c>
      <c r="FG27" s="46" t="str">
        <f t="shared" si="51"/>
        <v/>
      </c>
      <c r="FH27" s="46"/>
      <c r="FI27" s="46"/>
      <c r="FJ27" s="46">
        <f t="shared" si="10"/>
        <v>947053</v>
      </c>
      <c r="FK27" s="45"/>
      <c r="FL27" s="46"/>
      <c r="FM27" s="46"/>
      <c r="FN27" s="46"/>
      <c r="FO27" s="46"/>
      <c r="FP27" s="46"/>
      <c r="FQ27" s="46"/>
      <c r="FR27" s="46"/>
      <c r="FS27" s="46"/>
      <c r="FT27" s="46"/>
      <c r="FU27" s="46"/>
      <c r="FV27" s="46"/>
      <c r="FW27" s="46"/>
      <c r="FX27" s="46">
        <v>35112</v>
      </c>
      <c r="FY27" s="46"/>
      <c r="FZ27" s="46"/>
      <c r="GA27" s="46"/>
      <c r="GB27" s="40">
        <f>FX27</f>
        <v>35112</v>
      </c>
      <c r="GC27" s="45"/>
      <c r="GD27" s="46"/>
      <c r="GE27" s="46"/>
      <c r="GF27" s="46"/>
      <c r="GG27" s="46"/>
      <c r="GH27" s="46"/>
      <c r="GI27" s="46"/>
      <c r="GJ27" s="46"/>
      <c r="GK27" s="46"/>
      <c r="GL27" s="46"/>
      <c r="GM27" s="46"/>
      <c r="GN27" s="46"/>
      <c r="GO27" s="46"/>
      <c r="GP27" s="46">
        <v>206015</v>
      </c>
      <c r="GQ27" s="46"/>
      <c r="GR27" s="46"/>
      <c r="GS27" s="46"/>
      <c r="GT27" s="40"/>
      <c r="GU27" s="45"/>
      <c r="GV27" s="46"/>
      <c r="GW27" s="46"/>
      <c r="GX27" s="46"/>
      <c r="GY27" s="46"/>
      <c r="GZ27" s="46"/>
      <c r="HA27" s="46"/>
      <c r="HB27" s="46"/>
      <c r="HC27" s="46"/>
      <c r="HD27" s="46"/>
      <c r="HE27" s="46"/>
      <c r="HF27" s="46"/>
      <c r="HG27" s="46"/>
      <c r="HH27" s="46">
        <v>44122</v>
      </c>
      <c r="HI27" s="46"/>
      <c r="HJ27" s="46"/>
      <c r="HK27" s="46"/>
      <c r="HL27" s="40"/>
      <c r="HM27" s="45" t="str">
        <f t="shared" si="52"/>
        <v/>
      </c>
      <c r="HN27" s="46" t="str">
        <f t="shared" si="52"/>
        <v/>
      </c>
      <c r="HO27" s="46" t="str">
        <f t="shared" si="52"/>
        <v/>
      </c>
      <c r="HP27" s="46" t="str">
        <f t="shared" si="52"/>
        <v/>
      </c>
      <c r="HQ27" s="46" t="str">
        <f t="shared" si="52"/>
        <v/>
      </c>
      <c r="HR27" s="46" t="str">
        <f t="shared" si="52"/>
        <v/>
      </c>
      <c r="HS27" s="46" t="str">
        <f t="shared" si="52"/>
        <v/>
      </c>
      <c r="HT27" s="46" t="str">
        <f t="shared" si="52"/>
        <v/>
      </c>
      <c r="HU27" s="46"/>
      <c r="HV27" s="46"/>
      <c r="HW27" s="46"/>
      <c r="HX27" s="46"/>
      <c r="HY27" s="46"/>
      <c r="HZ27" s="46">
        <f t="shared" si="53"/>
        <v>161893</v>
      </c>
      <c r="IA27" s="46" t="str">
        <f t="shared" si="53"/>
        <v/>
      </c>
      <c r="IB27" s="46"/>
      <c r="IC27" s="46"/>
      <c r="ID27" s="46" t="str">
        <f t="shared" si="13"/>
        <v/>
      </c>
      <c r="IE27" s="47" t="str">
        <f t="shared" si="54"/>
        <v/>
      </c>
      <c r="IF27" s="48" t="str">
        <f t="shared" si="54"/>
        <v/>
      </c>
      <c r="IG27" s="48" t="str">
        <f t="shared" si="54"/>
        <v/>
      </c>
      <c r="IH27" s="48" t="str">
        <f t="shared" si="54"/>
        <v/>
      </c>
      <c r="II27" s="48" t="str">
        <f t="shared" si="54"/>
        <v/>
      </c>
      <c r="IJ27" s="48" t="str">
        <f t="shared" si="54"/>
        <v/>
      </c>
      <c r="IK27" s="48" t="str">
        <f t="shared" si="54"/>
        <v/>
      </c>
      <c r="IL27" s="48" t="str">
        <f t="shared" si="54"/>
        <v/>
      </c>
      <c r="IM27" s="48"/>
      <c r="IN27" s="48"/>
      <c r="IO27" s="48"/>
      <c r="IP27" s="48"/>
      <c r="IQ27" s="48"/>
      <c r="IR27" s="48">
        <f t="shared" si="55"/>
        <v>2.985190035666518</v>
      </c>
      <c r="IS27" s="48" t="str">
        <f t="shared" si="55"/>
        <v/>
      </c>
      <c r="IT27" s="48"/>
      <c r="IU27" s="48"/>
      <c r="IV27" s="48" t="str">
        <f t="shared" si="16"/>
        <v/>
      </c>
      <c r="IW27" s="47" t="str">
        <f t="shared" si="60"/>
        <v/>
      </c>
      <c r="IX27" s="48" t="str">
        <f t="shared" si="60"/>
        <v/>
      </c>
      <c r="IY27" s="48" t="str">
        <f t="shared" si="60"/>
        <v/>
      </c>
      <c r="IZ27" s="48" t="str">
        <f t="shared" si="59"/>
        <v/>
      </c>
      <c r="JA27" s="48" t="str">
        <f t="shared" si="59"/>
        <v/>
      </c>
      <c r="JB27" s="48" t="str">
        <f t="shared" si="59"/>
        <v/>
      </c>
      <c r="JC27" s="48" t="str">
        <f t="shared" si="59"/>
        <v/>
      </c>
      <c r="JD27" s="48" t="str">
        <f t="shared" si="59"/>
        <v/>
      </c>
      <c r="JE27" s="48" t="str">
        <f t="shared" si="59"/>
        <v/>
      </c>
      <c r="JF27" s="48" t="str">
        <f t="shared" si="59"/>
        <v/>
      </c>
      <c r="JG27" s="48" t="str">
        <f t="shared" si="59"/>
        <v/>
      </c>
      <c r="JH27" s="48" t="str">
        <f t="shared" si="59"/>
        <v/>
      </c>
      <c r="JI27" s="48"/>
      <c r="JJ27" s="48">
        <f t="shared" si="18"/>
        <v>4.0950458115812447</v>
      </c>
      <c r="JK27" s="48" t="str">
        <f t="shared" si="18"/>
        <v/>
      </c>
      <c r="JL27" s="48" t="str">
        <f t="shared" si="18"/>
        <v/>
      </c>
      <c r="JM27" s="48"/>
      <c r="JN27" s="48" t="str">
        <f t="shared" si="19"/>
        <v/>
      </c>
      <c r="JO27" s="47" t="str">
        <f t="shared" si="56"/>
        <v/>
      </c>
      <c r="JP27" s="48" t="str">
        <f t="shared" si="56"/>
        <v/>
      </c>
      <c r="JQ27" s="48" t="str">
        <f t="shared" si="56"/>
        <v/>
      </c>
      <c r="JR27" s="48" t="str">
        <f t="shared" si="56"/>
        <v/>
      </c>
      <c r="JS27" s="48" t="str">
        <f t="shared" si="56"/>
        <v/>
      </c>
      <c r="JT27" s="48" t="str">
        <f t="shared" si="56"/>
        <v/>
      </c>
      <c r="JU27" s="48" t="str">
        <f t="shared" si="56"/>
        <v/>
      </c>
      <c r="JV27" s="48" t="str">
        <f t="shared" si="56"/>
        <v/>
      </c>
      <c r="JW27" s="48"/>
      <c r="JX27" s="48"/>
      <c r="JY27" s="48"/>
      <c r="JZ27" s="48"/>
      <c r="KA27" s="48"/>
      <c r="KB27" s="48">
        <f t="shared" si="57"/>
        <v>4.4200079341002967</v>
      </c>
      <c r="KC27" s="48" t="str">
        <f t="shared" si="57"/>
        <v/>
      </c>
      <c r="KD27" s="48"/>
      <c r="KE27" s="48"/>
      <c r="KF27" s="48" t="str">
        <f t="shared" si="23"/>
        <v/>
      </c>
      <c r="KG27" s="73">
        <f t="shared" si="24"/>
        <v>508153</v>
      </c>
      <c r="KH27" s="74"/>
      <c r="KI27" s="73">
        <f t="shared" si="25"/>
        <v>208026</v>
      </c>
      <c r="KJ27" s="74"/>
      <c r="KK27" s="51">
        <f t="shared" si="26"/>
        <v>0.40937670347316657</v>
      </c>
      <c r="KL27" s="52">
        <f t="shared" si="27"/>
        <v>947053</v>
      </c>
      <c r="KM27" s="52">
        <f t="shared" si="28"/>
        <v>35112</v>
      </c>
      <c r="KN27" s="52">
        <f t="shared" si="29"/>
        <v>206015</v>
      </c>
      <c r="KO27" s="75">
        <f t="shared" si="30"/>
        <v>2.985190035666518</v>
      </c>
      <c r="KP27" s="76"/>
      <c r="KQ27" s="75" t="str">
        <f t="shared" si="58"/>
        <v/>
      </c>
      <c r="KR27" s="76" t="str">
        <f t="shared" si="38"/>
        <v/>
      </c>
      <c r="KS27" s="75">
        <f t="shared" si="32"/>
        <v>4.4200079341002967</v>
      </c>
      <c r="KT27" s="76" t="str">
        <f>KC27</f>
        <v/>
      </c>
      <c r="KU27" s="55">
        <v>2023</v>
      </c>
      <c r="KV27" s="77">
        <v>2</v>
      </c>
      <c r="KW27" s="78"/>
      <c r="KX27" s="78"/>
      <c r="KY27" s="78"/>
      <c r="KZ27" s="78"/>
      <c r="LA27" s="78" t="s">
        <v>93</v>
      </c>
      <c r="LB27" s="79" t="s">
        <v>196</v>
      </c>
      <c r="LC27" s="78"/>
      <c r="LD27" s="80"/>
      <c r="LE27" s="81" t="s">
        <v>197</v>
      </c>
      <c r="LF27" s="82" t="s">
        <v>198</v>
      </c>
    </row>
    <row r="28" spans="1:318" x14ac:dyDescent="0.25">
      <c r="C28" s="12"/>
      <c r="EL28" s="39" t="s">
        <v>199</v>
      </c>
    </row>
    <row r="29" spans="1:318" x14ac:dyDescent="0.25">
      <c r="C29" s="12"/>
    </row>
    <row r="30" spans="1:318" x14ac:dyDescent="0.25">
      <c r="C30" s="12"/>
    </row>
    <row r="31" spans="1:318" x14ac:dyDescent="0.25">
      <c r="C31" s="12"/>
    </row>
    <row r="32" spans="1:318" x14ac:dyDescent="0.25">
      <c r="C32" s="12"/>
    </row>
    <row r="33" spans="3:15" x14ac:dyDescent="0.25">
      <c r="C33" s="12"/>
    </row>
    <row r="34" spans="3:15" x14ac:dyDescent="0.25">
      <c r="C34" s="12"/>
    </row>
    <row r="35" spans="3:15" x14ac:dyDescent="0.25">
      <c r="C35" s="12"/>
    </row>
    <row r="36" spans="3:15" x14ac:dyDescent="0.25">
      <c r="C36" s="12"/>
      <c r="O36" s="39" t="s">
        <v>199</v>
      </c>
    </row>
    <row r="37" spans="3:15" x14ac:dyDescent="0.25">
      <c r="C37" s="12"/>
    </row>
    <row r="38" spans="3:15" x14ac:dyDescent="0.25">
      <c r="C38" s="12"/>
    </row>
    <row r="39" spans="3:15" x14ac:dyDescent="0.25">
      <c r="C39" s="12"/>
    </row>
    <row r="40" spans="3:15" x14ac:dyDescent="0.25">
      <c r="C40" s="12"/>
    </row>
    <row r="41" spans="3:15" x14ac:dyDescent="0.25">
      <c r="C41" s="12"/>
    </row>
    <row r="42" spans="3:15" x14ac:dyDescent="0.25">
      <c r="C42" s="12"/>
    </row>
    <row r="43" spans="3:15" x14ac:dyDescent="0.25">
      <c r="C43" s="12"/>
    </row>
    <row r="44" spans="3:15" x14ac:dyDescent="0.25">
      <c r="C44" s="12"/>
    </row>
    <row r="45" spans="3:15" x14ac:dyDescent="0.25">
      <c r="C45" s="12"/>
    </row>
    <row r="46" spans="3:15" x14ac:dyDescent="0.25">
      <c r="C46" s="12"/>
    </row>
    <row r="47" spans="3:15" x14ac:dyDescent="0.25">
      <c r="C47" s="12"/>
    </row>
    <row r="48" spans="3:15" x14ac:dyDescent="0.25">
      <c r="C48" s="12"/>
    </row>
    <row r="49" spans="3:3" x14ac:dyDescent="0.25">
      <c r="C49" s="12"/>
    </row>
    <row r="50" spans="3:3" x14ac:dyDescent="0.25">
      <c r="C50" s="12"/>
    </row>
    <row r="51" spans="3:3" x14ac:dyDescent="0.25">
      <c r="C51" s="12"/>
    </row>
    <row r="52" spans="3:3" x14ac:dyDescent="0.25">
      <c r="C52" s="12"/>
    </row>
    <row r="53" spans="3:3" x14ac:dyDescent="0.25">
      <c r="C53" s="12"/>
    </row>
    <row r="54" spans="3:3" x14ac:dyDescent="0.25">
      <c r="C54" s="12"/>
    </row>
    <row r="55" spans="3:3" x14ac:dyDescent="0.25">
      <c r="C55" s="12"/>
    </row>
    <row r="56" spans="3:3" x14ac:dyDescent="0.25">
      <c r="C56" s="12"/>
    </row>
    <row r="57" spans="3:3" x14ac:dyDescent="0.25">
      <c r="C57" s="12"/>
    </row>
    <row r="58" spans="3:3" x14ac:dyDescent="0.25">
      <c r="C58" s="12"/>
    </row>
    <row r="59" spans="3:3" x14ac:dyDescent="0.25">
      <c r="C59" s="12"/>
    </row>
    <row r="60" spans="3:3" x14ac:dyDescent="0.25">
      <c r="C60" s="12"/>
    </row>
    <row r="61" spans="3:3" x14ac:dyDescent="0.25">
      <c r="C61" s="12"/>
    </row>
    <row r="62" spans="3:3" x14ac:dyDescent="0.25">
      <c r="C62" s="12"/>
    </row>
    <row r="63" spans="3:3" x14ac:dyDescent="0.25">
      <c r="C63" s="12"/>
    </row>
    <row r="64" spans="3:3" x14ac:dyDescent="0.25">
      <c r="C64" s="12"/>
    </row>
    <row r="65" spans="3:3" x14ac:dyDescent="0.25">
      <c r="C65" s="12"/>
    </row>
    <row r="66" spans="3:3" x14ac:dyDescent="0.25">
      <c r="C66" s="12"/>
    </row>
    <row r="67" spans="3:3" x14ac:dyDescent="0.25">
      <c r="C67" s="12"/>
    </row>
    <row r="68" spans="3:3" x14ac:dyDescent="0.25">
      <c r="C68" s="12"/>
    </row>
    <row r="69" spans="3:3" x14ac:dyDescent="0.25">
      <c r="C69" s="12"/>
    </row>
    <row r="70" spans="3:3" x14ac:dyDescent="0.25">
      <c r="C70" s="12"/>
    </row>
    <row r="71" spans="3:3" x14ac:dyDescent="0.25">
      <c r="C71" s="12"/>
    </row>
    <row r="72" spans="3:3" x14ac:dyDescent="0.25">
      <c r="C72" s="12"/>
    </row>
  </sheetData>
  <autoFilter ref="A3:LF28" xr:uid="{14BA1B3A-0E5F-43CF-BB87-227A0AC8F0B0}"/>
  <mergeCells count="25">
    <mergeCell ref="KV1:KW1"/>
    <mergeCell ref="LD1:LF1"/>
    <mergeCell ref="KG2:KH2"/>
    <mergeCell ref="KI2:KJ2"/>
    <mergeCell ref="KO2:KP2"/>
    <mergeCell ref="KQ2:KR2"/>
    <mergeCell ref="KS2:KT2"/>
    <mergeCell ref="GU1:HL1"/>
    <mergeCell ref="HM1:ID1"/>
    <mergeCell ref="IE1:IV1"/>
    <mergeCell ref="IW1:JN1"/>
    <mergeCell ref="JO1:KF1"/>
    <mergeCell ref="KG1:KU1"/>
    <mergeCell ref="CQ1:DH1"/>
    <mergeCell ref="DI1:DZ1"/>
    <mergeCell ref="EA1:ER1"/>
    <mergeCell ref="ES1:FJ1"/>
    <mergeCell ref="FK1:GB1"/>
    <mergeCell ref="GC1:GT1"/>
    <mergeCell ref="A1:D1"/>
    <mergeCell ref="E1:V1"/>
    <mergeCell ref="W1:AN1"/>
    <mergeCell ref="AO1:BF1"/>
    <mergeCell ref="BG1:BX1"/>
    <mergeCell ref="BY1:CP1"/>
  </mergeCells>
  <conditionalFormatting sqref="A4:KU27 KW4:LF27">
    <cfRule type="expression" dxfId="7" priority="1">
      <formula>MOD(ROW(),2)=0</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14F2-1940-4B1B-B141-44664E5284C9}">
  <dimension ref="A1:FX56"/>
  <sheetViews>
    <sheetView zoomScaleNormal="100" workbookViewId="0">
      <pane xSplit="9" ySplit="3" topLeftCell="BJ4" activePane="bottomRight" state="frozen"/>
      <selection activeCell="KM4" sqref="KM4"/>
      <selection pane="topRight" activeCell="KM4" sqref="KM4"/>
      <selection pane="bottomLeft" activeCell="KM4" sqref="KM4"/>
      <selection pane="bottomRight" activeCell="KM4" sqref="KM4"/>
    </sheetView>
  </sheetViews>
  <sheetFormatPr defaultColWidth="8.85546875" defaultRowHeight="15" outlineLevelCol="1" x14ac:dyDescent="0.25"/>
  <cols>
    <col min="1" max="1" width="10.140625" style="37" bestFit="1" customWidth="1"/>
    <col min="2" max="2" width="14.85546875" style="84" bestFit="1" customWidth="1"/>
    <col min="3" max="3" width="25.140625" style="37" bestFit="1" customWidth="1"/>
    <col min="4" max="4" width="15.28515625" style="37" bestFit="1" customWidth="1"/>
    <col min="5" max="5" width="3.5703125" style="37" bestFit="1" customWidth="1"/>
    <col min="6" max="6" width="7" style="37" customWidth="1"/>
    <col min="7" max="7" width="11.42578125" style="37" customWidth="1"/>
    <col min="8" max="8" width="14.5703125" style="84" customWidth="1"/>
    <col min="9" max="9" width="8.5703125" style="84" customWidth="1"/>
    <col min="10" max="12" width="6" style="39" customWidth="1" outlineLevel="1"/>
    <col min="13" max="21" width="9" style="39" customWidth="1" outlineLevel="1"/>
    <col min="22" max="26" width="10.5703125" style="39" customWidth="1" outlineLevel="1"/>
    <col min="27" max="35" width="7.85546875" style="117" customWidth="1" outlineLevel="1"/>
    <col min="36" max="38" width="8.5703125" style="117" bestFit="1" customWidth="1" outlineLevel="1"/>
    <col min="39" max="43" width="9.5703125" style="117" customWidth="1" outlineLevel="1"/>
    <col min="44" max="56" width="11.7109375" style="39" customWidth="1" outlineLevel="1"/>
    <col min="57" max="57" width="10.5703125" style="39" customWidth="1" outlineLevel="1"/>
    <col min="58" max="62" width="12.7109375" style="39" customWidth="1" outlineLevel="1"/>
    <col min="63" max="73" width="10.5703125" style="39" customWidth="1" outlineLevel="1"/>
    <col min="74" max="75" width="11.28515625" style="39" customWidth="1" outlineLevel="1"/>
    <col min="76" max="76" width="10.5703125" style="39" customWidth="1" outlineLevel="1"/>
    <col min="77" max="81" width="11.28515625" style="39" customWidth="1" outlineLevel="1"/>
    <col min="82" max="94" width="9" style="39" customWidth="1" outlineLevel="1"/>
    <col min="95" max="100" width="10.5703125" style="39" customWidth="1" outlineLevel="1"/>
    <col min="101" max="111" width="6" style="159" customWidth="1" outlineLevel="1"/>
    <col min="112" max="112" width="6.42578125" style="159" bestFit="1" customWidth="1" outlineLevel="1"/>
    <col min="113" max="113" width="6.42578125" style="159" customWidth="1" outlineLevel="1"/>
    <col min="114" max="119" width="5.28515625" style="159" customWidth="1" outlineLevel="1"/>
    <col min="120" max="122" width="6.7109375" style="159" customWidth="1" outlineLevel="1"/>
    <col min="123" max="123" width="6.28515625" style="159" customWidth="1" outlineLevel="1"/>
    <col min="124" max="130" width="6.7109375" style="159" customWidth="1" outlineLevel="1"/>
    <col min="131" max="131" width="7.85546875" style="159" bestFit="1" customWidth="1" outlineLevel="1"/>
    <col min="132" max="132" width="7.85546875" style="159" customWidth="1" outlineLevel="1"/>
    <col min="133" max="133" width="5.5703125" style="159" customWidth="1" outlineLevel="1"/>
    <col min="134" max="135" width="6.7109375" style="159" customWidth="1" outlineLevel="1"/>
    <col min="136" max="136" width="7.85546875" style="159" bestFit="1" customWidth="1" outlineLevel="1"/>
    <col min="137" max="137" width="7.85546875" style="159" customWidth="1" outlineLevel="1"/>
    <col min="138" max="138" width="6.7109375" style="159" customWidth="1" outlineLevel="1"/>
    <col min="139" max="151" width="6" style="159" customWidth="1" outlineLevel="1"/>
    <col min="152" max="152" width="5.7109375" style="159" customWidth="1" outlineLevel="1"/>
    <col min="153" max="156" width="5.28515625" style="159" customWidth="1" outlineLevel="1"/>
    <col min="157" max="157" width="5.7109375" style="159" customWidth="1" outlineLevel="1"/>
    <col min="158" max="158" width="10.5703125" style="37" bestFit="1" customWidth="1"/>
    <col min="159" max="159" width="7.28515625" style="37" bestFit="1" customWidth="1"/>
    <col min="160" max="160" width="9.5703125" style="160" bestFit="1" customWidth="1"/>
    <col min="161" max="161" width="6.7109375" style="160" bestFit="1" customWidth="1"/>
    <col min="162" max="162" width="12.7109375" style="84" bestFit="1" customWidth="1"/>
    <col min="163" max="163" width="6.7109375" style="84" bestFit="1" customWidth="1"/>
    <col min="164" max="164" width="11.28515625" style="84" bestFit="1" customWidth="1"/>
    <col min="165" max="165" width="7.28515625" style="84" bestFit="1" customWidth="1"/>
    <col min="166" max="166" width="10.5703125" style="37" bestFit="1" customWidth="1"/>
    <col min="167" max="167" width="14.42578125" style="51" bestFit="1" customWidth="1"/>
    <col min="168" max="168" width="6.7109375" style="161" bestFit="1" customWidth="1"/>
    <col min="169" max="169" width="11.28515625" style="161" bestFit="1" customWidth="1"/>
    <col min="170" max="170" width="10.28515625" style="51" bestFit="1" customWidth="1"/>
    <col min="171" max="171" width="10.140625" style="125" bestFit="1" customWidth="1"/>
    <col min="172" max="172" width="9.7109375" style="125" bestFit="1" customWidth="1"/>
    <col min="173" max="173" width="69.5703125" style="125" customWidth="1"/>
    <col min="174" max="174" width="69.5703125" style="125" bestFit="1" customWidth="1"/>
    <col min="175" max="175" width="102.28515625" style="125" customWidth="1" outlineLevel="1"/>
    <col min="176" max="176" width="92.140625" style="12" customWidth="1" outlineLevel="1"/>
    <col min="177" max="177" width="113.42578125" style="12" customWidth="1" outlineLevel="1"/>
    <col min="178" max="178" width="51.28515625" style="12" customWidth="1" outlineLevel="1"/>
    <col min="179" max="179" width="52.28515625" style="12" customWidth="1" outlineLevel="1"/>
    <col min="180" max="180" width="201.5703125" style="12" customWidth="1" outlineLevel="1"/>
    <col min="181" max="16384" width="8.85546875" style="12"/>
  </cols>
  <sheetData>
    <row r="1" spans="1:180" x14ac:dyDescent="0.25">
      <c r="A1" s="1" t="s">
        <v>0</v>
      </c>
      <c r="B1" s="2"/>
      <c r="C1" s="2"/>
      <c r="D1" s="2"/>
      <c r="E1" s="2"/>
      <c r="F1" s="2"/>
      <c r="G1" s="2"/>
      <c r="H1" s="2"/>
      <c r="I1" s="3"/>
      <c r="J1" s="85" t="s">
        <v>200</v>
      </c>
      <c r="K1" s="85"/>
      <c r="L1" s="85"/>
      <c r="M1" s="85"/>
      <c r="N1" s="85"/>
      <c r="O1" s="85"/>
      <c r="P1" s="85"/>
      <c r="Q1" s="85"/>
      <c r="R1" s="85"/>
      <c r="S1" s="85"/>
      <c r="T1" s="85"/>
      <c r="U1" s="85"/>
      <c r="V1" s="85"/>
      <c r="W1" s="85"/>
      <c r="X1" s="85"/>
      <c r="Y1" s="85"/>
      <c r="Z1" s="85"/>
      <c r="AA1" s="86" t="s">
        <v>201</v>
      </c>
      <c r="AB1" s="86"/>
      <c r="AC1" s="86"/>
      <c r="AD1" s="86"/>
      <c r="AE1" s="86"/>
      <c r="AF1" s="86"/>
      <c r="AG1" s="86"/>
      <c r="AH1" s="86"/>
      <c r="AI1" s="86"/>
      <c r="AJ1" s="86"/>
      <c r="AK1" s="86"/>
      <c r="AL1" s="86"/>
      <c r="AM1" s="86"/>
      <c r="AN1" s="86"/>
      <c r="AO1" s="86"/>
      <c r="AP1" s="86"/>
      <c r="AQ1" s="86"/>
      <c r="AR1" s="85" t="s">
        <v>20</v>
      </c>
      <c r="AS1" s="85"/>
      <c r="AT1" s="85"/>
      <c r="AU1" s="85"/>
      <c r="AV1" s="85"/>
      <c r="AW1" s="85"/>
      <c r="AX1" s="85"/>
      <c r="AY1" s="85"/>
      <c r="AZ1" s="85"/>
      <c r="BA1" s="85"/>
      <c r="BB1" s="85"/>
      <c r="BC1" s="85"/>
      <c r="BD1" s="85"/>
      <c r="BE1" s="85"/>
      <c r="BF1" s="85"/>
      <c r="BG1" s="85"/>
      <c r="BH1" s="85"/>
      <c r="BI1" s="85"/>
      <c r="BJ1" s="85"/>
      <c r="BK1" s="85" t="s">
        <v>202</v>
      </c>
      <c r="BL1" s="85"/>
      <c r="BM1" s="85"/>
      <c r="BN1" s="85"/>
      <c r="BO1" s="85"/>
      <c r="BP1" s="85"/>
      <c r="BQ1" s="85"/>
      <c r="BR1" s="85"/>
      <c r="BS1" s="85"/>
      <c r="BT1" s="85"/>
      <c r="BU1" s="85"/>
      <c r="BV1" s="85"/>
      <c r="BW1" s="85"/>
      <c r="BX1" s="85"/>
      <c r="BY1" s="85"/>
      <c r="BZ1" s="85"/>
      <c r="CA1" s="85"/>
      <c r="CB1" s="85"/>
      <c r="CC1" s="85"/>
      <c r="CD1" s="85" t="s">
        <v>28</v>
      </c>
      <c r="CE1" s="85"/>
      <c r="CF1" s="85"/>
      <c r="CG1" s="85"/>
      <c r="CH1" s="85"/>
      <c r="CI1" s="85"/>
      <c r="CJ1" s="85"/>
      <c r="CK1" s="85"/>
      <c r="CL1" s="85"/>
      <c r="CM1" s="85"/>
      <c r="CN1" s="85"/>
      <c r="CO1" s="85"/>
      <c r="CP1" s="85"/>
      <c r="CQ1" s="85"/>
      <c r="CR1" s="85"/>
      <c r="CS1" s="85"/>
      <c r="CT1" s="85"/>
      <c r="CU1" s="85"/>
      <c r="CV1" s="85"/>
      <c r="CW1" s="87" t="s">
        <v>203</v>
      </c>
      <c r="CX1" s="87"/>
      <c r="CY1" s="87"/>
      <c r="CZ1" s="87"/>
      <c r="DA1" s="87"/>
      <c r="DB1" s="87"/>
      <c r="DC1" s="87"/>
      <c r="DD1" s="87"/>
      <c r="DE1" s="87"/>
      <c r="DF1" s="87"/>
      <c r="DG1" s="87"/>
      <c r="DH1" s="87"/>
      <c r="DI1" s="87"/>
      <c r="DJ1" s="87"/>
      <c r="DK1" s="87"/>
      <c r="DL1" s="87"/>
      <c r="DM1" s="87"/>
      <c r="DN1" s="87"/>
      <c r="DO1" s="87"/>
      <c r="DP1" s="87" t="s">
        <v>204</v>
      </c>
      <c r="DQ1" s="87"/>
      <c r="DR1" s="87"/>
      <c r="DS1" s="87"/>
      <c r="DT1" s="87"/>
      <c r="DU1" s="87"/>
      <c r="DV1" s="87"/>
      <c r="DW1" s="87"/>
      <c r="DX1" s="87"/>
      <c r="DY1" s="87"/>
      <c r="DZ1" s="87"/>
      <c r="EA1" s="87"/>
      <c r="EB1" s="87"/>
      <c r="EC1" s="87"/>
      <c r="ED1" s="87"/>
      <c r="EE1" s="87"/>
      <c r="EF1" s="87"/>
      <c r="EG1" s="87"/>
      <c r="EH1" s="87"/>
      <c r="EI1" s="87" t="s">
        <v>205</v>
      </c>
      <c r="EJ1" s="87"/>
      <c r="EK1" s="87"/>
      <c r="EL1" s="87"/>
      <c r="EM1" s="87"/>
      <c r="EN1" s="87"/>
      <c r="EO1" s="87"/>
      <c r="EP1" s="87"/>
      <c r="EQ1" s="87"/>
      <c r="ER1" s="87"/>
      <c r="ES1" s="87"/>
      <c r="ET1" s="87"/>
      <c r="EU1" s="87"/>
      <c r="EV1" s="87"/>
      <c r="EW1" s="87"/>
      <c r="EX1" s="87"/>
      <c r="EY1" s="87"/>
      <c r="EZ1" s="87"/>
      <c r="FA1" s="87"/>
      <c r="FB1" s="1" t="s">
        <v>206</v>
      </c>
      <c r="FC1" s="2"/>
      <c r="FD1" s="2"/>
      <c r="FE1" s="2"/>
      <c r="FF1" s="2"/>
      <c r="FG1" s="2"/>
      <c r="FH1" s="2"/>
      <c r="FI1" s="2"/>
      <c r="FJ1" s="2"/>
      <c r="FK1" s="2"/>
      <c r="FL1" s="2"/>
      <c r="FM1" s="2"/>
      <c r="FN1" s="2"/>
      <c r="FO1" s="3"/>
      <c r="FP1" s="1" t="s">
        <v>19</v>
      </c>
      <c r="FQ1" s="2"/>
      <c r="FR1" s="2"/>
      <c r="FS1" s="2"/>
      <c r="FT1" s="2"/>
      <c r="FU1" s="2"/>
      <c r="FV1" s="2"/>
      <c r="FW1" s="2"/>
      <c r="FX1" s="3"/>
    </row>
    <row r="2" spans="1:180" x14ac:dyDescent="0.25">
      <c r="A2" s="13"/>
      <c r="B2" s="14"/>
      <c r="C2" s="14"/>
      <c r="D2" s="14"/>
      <c r="E2" s="14"/>
      <c r="F2" s="14"/>
      <c r="G2" s="14"/>
      <c r="H2" s="14"/>
      <c r="I2" s="15"/>
      <c r="J2" s="16"/>
      <c r="K2" s="16"/>
      <c r="L2" s="16"/>
      <c r="M2" s="16"/>
      <c r="N2" s="16"/>
      <c r="O2" s="16"/>
      <c r="P2" s="16"/>
      <c r="Q2" s="16"/>
      <c r="R2" s="16"/>
      <c r="S2" s="16"/>
      <c r="T2" s="16"/>
      <c r="U2" s="16"/>
      <c r="V2" s="16"/>
      <c r="W2" s="16"/>
      <c r="X2" s="16"/>
      <c r="Y2" s="16"/>
      <c r="Z2" s="16"/>
      <c r="AA2" s="19"/>
      <c r="AB2" s="19"/>
      <c r="AC2" s="19"/>
      <c r="AD2" s="19"/>
      <c r="AE2" s="19"/>
      <c r="AF2" s="19"/>
      <c r="AG2" s="19"/>
      <c r="AH2" s="19"/>
      <c r="AI2" s="19"/>
      <c r="AJ2" s="19"/>
      <c r="AK2" s="19"/>
      <c r="AL2" s="19"/>
      <c r="AM2" s="19"/>
      <c r="AN2" s="19"/>
      <c r="AO2" s="19"/>
      <c r="AP2" s="19"/>
      <c r="AQ2" s="19"/>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87" t="s">
        <v>200</v>
      </c>
      <c r="FC2" s="87"/>
      <c r="FD2" s="1" t="s">
        <v>201</v>
      </c>
      <c r="FE2" s="3"/>
      <c r="FF2" s="1" t="s">
        <v>20</v>
      </c>
      <c r="FG2" s="3"/>
      <c r="FH2" s="1" t="s">
        <v>202</v>
      </c>
      <c r="FI2" s="3"/>
      <c r="FJ2" s="14"/>
      <c r="FK2" s="14"/>
      <c r="FL2" s="1" t="s">
        <v>207</v>
      </c>
      <c r="FM2" s="3"/>
      <c r="FN2" s="14"/>
      <c r="FO2" s="15"/>
      <c r="FP2" s="13"/>
      <c r="FQ2" s="14"/>
      <c r="FR2" s="14"/>
      <c r="FS2" s="14"/>
      <c r="FT2" s="14"/>
      <c r="FU2" s="14"/>
      <c r="FV2" s="14"/>
      <c r="FW2" s="14"/>
      <c r="FX2" s="15"/>
    </row>
    <row r="3" spans="1:180" s="95" customFormat="1" ht="21" customHeight="1" x14ac:dyDescent="0.25">
      <c r="A3" s="88" t="s">
        <v>208</v>
      </c>
      <c r="B3" s="89" t="s">
        <v>27</v>
      </c>
      <c r="C3" s="89" t="s">
        <v>209</v>
      </c>
      <c r="D3" s="89" t="s">
        <v>210</v>
      </c>
      <c r="E3" s="89" t="s">
        <v>211</v>
      </c>
      <c r="F3" s="89" t="s">
        <v>212</v>
      </c>
      <c r="G3" s="89" t="s">
        <v>213</v>
      </c>
      <c r="H3" s="89" t="s">
        <v>214</v>
      </c>
      <c r="I3" s="90" t="s">
        <v>215</v>
      </c>
      <c r="J3" s="91" t="s">
        <v>29</v>
      </c>
      <c r="K3" s="91" t="s">
        <v>30</v>
      </c>
      <c r="L3" s="91" t="s">
        <v>31</v>
      </c>
      <c r="M3" s="91" t="s">
        <v>32</v>
      </c>
      <c r="N3" s="91" t="s">
        <v>33</v>
      </c>
      <c r="O3" s="91" t="s">
        <v>34</v>
      </c>
      <c r="P3" s="91" t="s">
        <v>35</v>
      </c>
      <c r="Q3" s="91" t="s">
        <v>36</v>
      </c>
      <c r="R3" s="91" t="s">
        <v>37</v>
      </c>
      <c r="S3" s="91" t="s">
        <v>38</v>
      </c>
      <c r="T3" s="91" t="s">
        <v>39</v>
      </c>
      <c r="U3" s="91" t="s">
        <v>40</v>
      </c>
      <c r="V3" s="91">
        <v>2022</v>
      </c>
      <c r="W3" s="91">
        <v>2023</v>
      </c>
      <c r="X3" s="91">
        <v>2024</v>
      </c>
      <c r="Y3" s="91">
        <v>2025</v>
      </c>
      <c r="Z3" s="91" t="s">
        <v>42</v>
      </c>
      <c r="AA3" s="91" t="s">
        <v>29</v>
      </c>
      <c r="AB3" s="91" t="s">
        <v>30</v>
      </c>
      <c r="AC3" s="91" t="s">
        <v>31</v>
      </c>
      <c r="AD3" s="91" t="s">
        <v>32</v>
      </c>
      <c r="AE3" s="91" t="s">
        <v>33</v>
      </c>
      <c r="AF3" s="91" t="s">
        <v>34</v>
      </c>
      <c r="AG3" s="91" t="s">
        <v>35</v>
      </c>
      <c r="AH3" s="91" t="s">
        <v>36</v>
      </c>
      <c r="AI3" s="91" t="s">
        <v>37</v>
      </c>
      <c r="AJ3" s="91" t="s">
        <v>38</v>
      </c>
      <c r="AK3" s="91" t="s">
        <v>39</v>
      </c>
      <c r="AL3" s="91" t="s">
        <v>40</v>
      </c>
      <c r="AM3" s="91">
        <v>2022</v>
      </c>
      <c r="AN3" s="91">
        <v>2023</v>
      </c>
      <c r="AO3" s="91">
        <v>2024</v>
      </c>
      <c r="AP3" s="91">
        <v>2025</v>
      </c>
      <c r="AQ3" s="91" t="s">
        <v>42</v>
      </c>
      <c r="AR3" s="91" t="s">
        <v>29</v>
      </c>
      <c r="AS3" s="91" t="s">
        <v>30</v>
      </c>
      <c r="AT3" s="91" t="s">
        <v>31</v>
      </c>
      <c r="AU3" s="91" t="s">
        <v>32</v>
      </c>
      <c r="AV3" s="91" t="s">
        <v>33</v>
      </c>
      <c r="AW3" s="91" t="s">
        <v>34</v>
      </c>
      <c r="AX3" s="91" t="s">
        <v>35</v>
      </c>
      <c r="AY3" s="91" t="s">
        <v>36</v>
      </c>
      <c r="AZ3" s="91" t="s">
        <v>37</v>
      </c>
      <c r="BA3" s="91" t="s">
        <v>38</v>
      </c>
      <c r="BB3" s="91" t="s">
        <v>39</v>
      </c>
      <c r="BC3" s="91" t="s">
        <v>40</v>
      </c>
      <c r="BD3" s="91" t="s">
        <v>41</v>
      </c>
      <c r="BE3" s="91">
        <v>2022</v>
      </c>
      <c r="BF3" s="91">
        <v>2023</v>
      </c>
      <c r="BG3" s="91">
        <v>2024</v>
      </c>
      <c r="BH3" s="91">
        <v>2025</v>
      </c>
      <c r="BI3" s="91">
        <v>2026</v>
      </c>
      <c r="BJ3" s="91" t="s">
        <v>42</v>
      </c>
      <c r="BK3" s="91" t="s">
        <v>29</v>
      </c>
      <c r="BL3" s="91" t="s">
        <v>30</v>
      </c>
      <c r="BM3" s="91" t="s">
        <v>31</v>
      </c>
      <c r="BN3" s="91" t="s">
        <v>32</v>
      </c>
      <c r="BO3" s="91" t="s">
        <v>33</v>
      </c>
      <c r="BP3" s="91" t="s">
        <v>34</v>
      </c>
      <c r="BQ3" s="91" t="s">
        <v>35</v>
      </c>
      <c r="BR3" s="91" t="s">
        <v>36</v>
      </c>
      <c r="BS3" s="91" t="s">
        <v>41</v>
      </c>
      <c r="BT3" s="91" t="s">
        <v>37</v>
      </c>
      <c r="BU3" s="91" t="s">
        <v>38</v>
      </c>
      <c r="BV3" s="91" t="s">
        <v>39</v>
      </c>
      <c r="BW3" s="91" t="s">
        <v>40</v>
      </c>
      <c r="BX3" s="91">
        <v>2022</v>
      </c>
      <c r="BY3" s="91">
        <v>2023</v>
      </c>
      <c r="BZ3" s="91">
        <v>2024</v>
      </c>
      <c r="CA3" s="91">
        <v>2025</v>
      </c>
      <c r="CB3" s="91">
        <v>2026</v>
      </c>
      <c r="CC3" s="91" t="s">
        <v>42</v>
      </c>
      <c r="CD3" s="91" t="s">
        <v>29</v>
      </c>
      <c r="CE3" s="91" t="s">
        <v>30</v>
      </c>
      <c r="CF3" s="91" t="s">
        <v>31</v>
      </c>
      <c r="CG3" s="91" t="s">
        <v>32</v>
      </c>
      <c r="CH3" s="91" t="s">
        <v>33</v>
      </c>
      <c r="CI3" s="91" t="s">
        <v>34</v>
      </c>
      <c r="CJ3" s="91" t="s">
        <v>35</v>
      </c>
      <c r="CK3" s="91" t="s">
        <v>36</v>
      </c>
      <c r="CL3" s="91" t="s">
        <v>37</v>
      </c>
      <c r="CM3" s="91" t="s">
        <v>38</v>
      </c>
      <c r="CN3" s="91" t="s">
        <v>39</v>
      </c>
      <c r="CO3" s="91" t="s">
        <v>40</v>
      </c>
      <c r="CP3" s="91" t="s">
        <v>41</v>
      </c>
      <c r="CQ3" s="91">
        <v>2022</v>
      </c>
      <c r="CR3" s="91">
        <v>2023</v>
      </c>
      <c r="CS3" s="91">
        <v>2024</v>
      </c>
      <c r="CT3" s="91">
        <v>2025</v>
      </c>
      <c r="CU3" s="91">
        <v>2026</v>
      </c>
      <c r="CV3" s="91" t="s">
        <v>42</v>
      </c>
      <c r="CW3" s="91" t="s">
        <v>29</v>
      </c>
      <c r="CX3" s="91" t="s">
        <v>30</v>
      </c>
      <c r="CY3" s="91" t="s">
        <v>31</v>
      </c>
      <c r="CZ3" s="91" t="s">
        <v>32</v>
      </c>
      <c r="DA3" s="91" t="s">
        <v>33</v>
      </c>
      <c r="DB3" s="91" t="s">
        <v>34</v>
      </c>
      <c r="DC3" s="91" t="s">
        <v>35</v>
      </c>
      <c r="DD3" s="91" t="s">
        <v>36</v>
      </c>
      <c r="DE3" s="91" t="s">
        <v>37</v>
      </c>
      <c r="DF3" s="91" t="s">
        <v>38</v>
      </c>
      <c r="DG3" s="91" t="s">
        <v>39</v>
      </c>
      <c r="DH3" s="91" t="s">
        <v>40</v>
      </c>
      <c r="DI3" s="91" t="s">
        <v>41</v>
      </c>
      <c r="DJ3" s="91">
        <v>2022</v>
      </c>
      <c r="DK3" s="91">
        <v>2023</v>
      </c>
      <c r="DL3" s="91">
        <v>2024</v>
      </c>
      <c r="DM3" s="91">
        <v>2025</v>
      </c>
      <c r="DN3" s="91">
        <v>2026</v>
      </c>
      <c r="DO3" s="91" t="s">
        <v>42</v>
      </c>
      <c r="DP3" s="91" t="s">
        <v>29</v>
      </c>
      <c r="DQ3" s="91" t="s">
        <v>30</v>
      </c>
      <c r="DR3" s="91" t="s">
        <v>31</v>
      </c>
      <c r="DS3" s="91" t="s">
        <v>32</v>
      </c>
      <c r="DT3" s="91" t="s">
        <v>33</v>
      </c>
      <c r="DU3" s="91" t="s">
        <v>34</v>
      </c>
      <c r="DV3" s="91" t="s">
        <v>35</v>
      </c>
      <c r="DW3" s="91" t="s">
        <v>36</v>
      </c>
      <c r="DX3" s="91" t="s">
        <v>37</v>
      </c>
      <c r="DY3" s="91" t="s">
        <v>38</v>
      </c>
      <c r="DZ3" s="91" t="s">
        <v>39</v>
      </c>
      <c r="EA3" s="91" t="s">
        <v>40</v>
      </c>
      <c r="EB3" s="91" t="s">
        <v>41</v>
      </c>
      <c r="EC3" s="91">
        <v>2022</v>
      </c>
      <c r="ED3" s="91">
        <v>2023</v>
      </c>
      <c r="EE3" s="91">
        <v>2024</v>
      </c>
      <c r="EF3" s="91">
        <v>2025</v>
      </c>
      <c r="EG3" s="91">
        <v>2026</v>
      </c>
      <c r="EH3" s="91" t="s">
        <v>42</v>
      </c>
      <c r="EI3" s="91" t="s">
        <v>29</v>
      </c>
      <c r="EJ3" s="91" t="s">
        <v>30</v>
      </c>
      <c r="EK3" s="91" t="s">
        <v>31</v>
      </c>
      <c r="EL3" s="91" t="s">
        <v>32</v>
      </c>
      <c r="EM3" s="91" t="s">
        <v>33</v>
      </c>
      <c r="EN3" s="91" t="s">
        <v>34</v>
      </c>
      <c r="EO3" s="91" t="s">
        <v>35</v>
      </c>
      <c r="EP3" s="91" t="s">
        <v>36</v>
      </c>
      <c r="EQ3" s="91" t="s">
        <v>37</v>
      </c>
      <c r="ER3" s="91" t="s">
        <v>38</v>
      </c>
      <c r="ES3" s="91" t="s">
        <v>39</v>
      </c>
      <c r="ET3" s="91" t="s">
        <v>40</v>
      </c>
      <c r="EU3" s="91" t="s">
        <v>41</v>
      </c>
      <c r="EV3" s="91">
        <v>2022</v>
      </c>
      <c r="EW3" s="91">
        <v>2023</v>
      </c>
      <c r="EX3" s="91">
        <v>2024</v>
      </c>
      <c r="EY3" s="91">
        <v>2025</v>
      </c>
      <c r="EZ3" s="91">
        <v>2026</v>
      </c>
      <c r="FA3" s="91" t="s">
        <v>42</v>
      </c>
      <c r="FB3" s="89" t="s">
        <v>45</v>
      </c>
      <c r="FC3" s="89" t="s">
        <v>46</v>
      </c>
      <c r="FD3" s="88" t="s">
        <v>45</v>
      </c>
      <c r="FE3" s="90" t="s">
        <v>46</v>
      </c>
      <c r="FF3" s="88" t="s">
        <v>45</v>
      </c>
      <c r="FG3" s="90" t="s">
        <v>46</v>
      </c>
      <c r="FH3" s="88" t="s">
        <v>45</v>
      </c>
      <c r="FI3" s="90" t="s">
        <v>46</v>
      </c>
      <c r="FJ3" s="89" t="s">
        <v>28</v>
      </c>
      <c r="FK3" s="92" t="s">
        <v>203</v>
      </c>
      <c r="FL3" s="88" t="s">
        <v>45</v>
      </c>
      <c r="FM3" s="90" t="s">
        <v>50</v>
      </c>
      <c r="FN3" s="92" t="s">
        <v>205</v>
      </c>
      <c r="FO3" s="93" t="s">
        <v>51</v>
      </c>
      <c r="FP3" s="94" t="s">
        <v>53</v>
      </c>
      <c r="FQ3" s="92" t="s">
        <v>216</v>
      </c>
      <c r="FR3" s="92" t="s">
        <v>217</v>
      </c>
      <c r="FS3" s="92" t="s">
        <v>218</v>
      </c>
      <c r="FT3" s="89" t="s">
        <v>219</v>
      </c>
      <c r="FU3" s="89" t="s">
        <v>220</v>
      </c>
      <c r="FV3" s="89" t="s">
        <v>60</v>
      </c>
      <c r="FW3" s="89" t="s">
        <v>61</v>
      </c>
      <c r="FX3" s="90" t="s">
        <v>221</v>
      </c>
    </row>
    <row r="4" spans="1:180" x14ac:dyDescent="0.25">
      <c r="A4" s="96" t="s">
        <v>222</v>
      </c>
      <c r="B4" s="97" t="s">
        <v>223</v>
      </c>
      <c r="C4" s="97" t="str">
        <f>INDEX('[1]Property Summary'!A:A,MATCH($A4,'[1]Property Summary'!$AC:$AC,FALSE))</f>
        <v>2855 Auto Mall Parkway</v>
      </c>
      <c r="D4" s="97" t="str">
        <f>INDEX('[1]Property Summary'!B:B,MATCH($A4,'[1]Property Summary'!$AC:$AC,FALSE))</f>
        <v>Fairfield</v>
      </c>
      <c r="E4" s="97" t="str">
        <f>INDEX('[1]Property Summary'!C:C,MATCH($A4,'[1]Property Summary'!$AC:$AC,FALSE))</f>
        <v>CA</v>
      </c>
      <c r="F4" s="97">
        <f>INDEX('[1]Property Summary'!D:D,MATCH($A4,'[1]Property Summary'!$AC:$AC,FALSE))</f>
        <v>94533</v>
      </c>
      <c r="G4" s="97" t="str">
        <f>INDEX('[1]Property Summary'!E:E,MATCH($A4,'[1]Property Summary'!$AC:$AC,FALSE))</f>
        <v>Volkswagen</v>
      </c>
      <c r="H4" s="97" t="str">
        <f>INDEX('[1]Property Summary'!F:F,MATCH($A4,'[1]Property Summary'!$AC:$AC,FALSE))</f>
        <v>Fairfield Automotive Partners, LLC</v>
      </c>
      <c r="I4" s="98" t="str">
        <f>INDEX('[1]Property Summary'!H:H,MATCH($A4,'[1]Property Summary'!$AC:$AC,FALSE))</f>
        <v>Auto</v>
      </c>
      <c r="J4" s="69"/>
      <c r="K4" s="69"/>
      <c r="L4" s="69"/>
      <c r="M4" s="69"/>
      <c r="N4" s="69"/>
      <c r="O4" s="69"/>
      <c r="P4" s="69"/>
      <c r="Q4" s="69"/>
      <c r="R4" s="69"/>
      <c r="S4" s="69"/>
      <c r="T4" s="69"/>
      <c r="U4" s="69"/>
      <c r="V4" s="69"/>
      <c r="W4" s="69"/>
      <c r="X4" s="69"/>
      <c r="Y4" s="69"/>
      <c r="Z4" s="69"/>
      <c r="AA4" s="99"/>
      <c r="AB4" s="99"/>
      <c r="AC4" s="99"/>
      <c r="AD4" s="99"/>
      <c r="AE4" s="99"/>
      <c r="AF4" s="99"/>
      <c r="AG4" s="99"/>
      <c r="AH4" s="99"/>
      <c r="AI4" s="99"/>
      <c r="AJ4" s="99"/>
      <c r="AK4" s="99"/>
      <c r="AL4" s="99"/>
      <c r="AM4" s="99"/>
      <c r="AN4" s="99"/>
      <c r="AO4" s="99"/>
      <c r="AP4" s="99"/>
      <c r="AQ4" s="99"/>
      <c r="AR4" s="69"/>
      <c r="AS4" s="69"/>
      <c r="AT4" s="69"/>
      <c r="AU4" s="69"/>
      <c r="AV4" s="69">
        <v>6698546</v>
      </c>
      <c r="AW4" s="69">
        <f>14123235-AV4</f>
        <v>7424689</v>
      </c>
      <c r="AX4" s="69">
        <f>22620248-AW4-AV4</f>
        <v>8497013</v>
      </c>
      <c r="AY4" s="69">
        <f>29806961-AX4-AW4-AV4</f>
        <v>7186713</v>
      </c>
      <c r="AZ4" s="69">
        <v>7151060</v>
      </c>
      <c r="BA4" s="69">
        <f>13667964-AZ4</f>
        <v>6516904</v>
      </c>
      <c r="BB4" s="69">
        <f>21314159-BA4-AZ4</f>
        <v>7646195</v>
      </c>
      <c r="BC4" s="69">
        <f>26203067-BB4-BA4-AZ4</f>
        <v>4888908</v>
      </c>
      <c r="BD4" s="69"/>
      <c r="BE4" s="69"/>
      <c r="BF4" s="69">
        <f>15746214</f>
        <v>15746214</v>
      </c>
      <c r="BG4" s="69">
        <f>SUM(AV4:AY4)</f>
        <v>29806961</v>
      </c>
      <c r="BH4" s="69">
        <f>SUM(AZ4:BC4)</f>
        <v>26203067</v>
      </c>
      <c r="BI4" s="69"/>
      <c r="BJ4" s="69">
        <f t="shared" ref="BJ4:BJ12" si="0">SUM(AZ4:BC4)</f>
        <v>26203067</v>
      </c>
      <c r="BK4" s="69"/>
      <c r="BL4" s="69"/>
      <c r="BM4" s="69"/>
      <c r="BN4" s="69"/>
      <c r="BO4" s="69">
        <f>-926809+269251+18190+66999</f>
        <v>-572369</v>
      </c>
      <c r="BP4" s="69">
        <f>(-1844454+457725+36379+97281)-BO4</f>
        <v>-680700</v>
      </c>
      <c r="BQ4" s="69">
        <f>(-2950163+632289+161189+248687)-BP4-BO4</f>
        <v>-654929</v>
      </c>
      <c r="BR4" s="69">
        <f>(-3849795+797877-83420+339532)-BQ4-BP4-BO4</f>
        <v>-887808</v>
      </c>
      <c r="BS4" s="69"/>
      <c r="BT4" s="69">
        <f>-1156034+90844+77986+165589</f>
        <v>-821615</v>
      </c>
      <c r="BU4" s="69">
        <f>-2516164+331177+184203+181690-BT4</f>
        <v>-997479</v>
      </c>
      <c r="BV4" s="69">
        <f>-4056271+503666+347610+272535-BU4-BT4</f>
        <v>-1113366</v>
      </c>
      <c r="BW4" s="69">
        <f>(-5345718+679315+532479+363380)-BV4-BU4-BT4</f>
        <v>-838084</v>
      </c>
      <c r="BX4" s="69"/>
      <c r="BY4" s="69">
        <f>-2700256+613500+42442</f>
        <v>-2044314</v>
      </c>
      <c r="BZ4" s="69">
        <f>SUM(BO4:BR4)</f>
        <v>-2795806</v>
      </c>
      <c r="CA4" s="69">
        <f>SUM(BT4:BW4)</f>
        <v>-3770544</v>
      </c>
      <c r="CB4" s="69"/>
      <c r="CC4" s="69">
        <f t="shared" ref="CC4:CC12" si="1">SUM(BT4:BW4)</f>
        <v>-3770544</v>
      </c>
      <c r="CD4" s="69">
        <v>225000</v>
      </c>
      <c r="CE4" s="69">
        <v>225000</v>
      </c>
      <c r="CF4" s="69">
        <v>269250</v>
      </c>
      <c r="CG4" s="69">
        <v>269250</v>
      </c>
      <c r="CH4" s="69">
        <v>269250</v>
      </c>
      <c r="CI4" s="69">
        <v>269250</v>
      </c>
      <c r="CJ4" s="69">
        <v>275981.25</v>
      </c>
      <c r="CK4" s="69">
        <v>275981.25</v>
      </c>
      <c r="CL4" s="69">
        <v>275981.25</v>
      </c>
      <c r="CM4" s="69">
        <v>278281</v>
      </c>
      <c r="CN4" s="69">
        <v>282881</v>
      </c>
      <c r="CO4" s="69"/>
      <c r="CP4" s="69"/>
      <c r="CQ4" s="69">
        <v>1020000</v>
      </c>
      <c r="CR4" s="69">
        <f>SUM(CD4:CG4)</f>
        <v>988500</v>
      </c>
      <c r="CS4" s="69">
        <f>SUM(CH4:CK4)</f>
        <v>1090462.5</v>
      </c>
      <c r="CT4" s="69"/>
      <c r="CU4" s="69"/>
      <c r="CV4" s="69">
        <f>SUM(CK4:CN4)</f>
        <v>1113124.5</v>
      </c>
      <c r="CW4" s="100" t="str">
        <f t="shared" ref="CW4:DD45" si="2">IFERROR(BK4/AR4,"")</f>
        <v/>
      </c>
      <c r="CX4" s="100" t="str">
        <f t="shared" si="2"/>
        <v/>
      </c>
      <c r="CY4" s="100" t="str">
        <f t="shared" si="2"/>
        <v/>
      </c>
      <c r="CZ4" s="100" t="str">
        <f t="shared" si="2"/>
        <v/>
      </c>
      <c r="DA4" s="100">
        <f t="shared" si="2"/>
        <v>-8.5446752175770677E-2</v>
      </c>
      <c r="DB4" s="100">
        <f t="shared" si="2"/>
        <v>-9.1680607766870773E-2</v>
      </c>
      <c r="DC4" s="100">
        <f t="shared" si="2"/>
        <v>-7.7077556548401191E-2</v>
      </c>
      <c r="DD4" s="100">
        <f t="shared" si="2"/>
        <v>-0.12353463954940179</v>
      </c>
      <c r="DE4" s="100">
        <f t="shared" ref="DE4:DH19" si="3">IFERROR(BT4/AZ4,"")</f>
        <v>-0.11489415555176435</v>
      </c>
      <c r="DF4" s="100">
        <f t="shared" si="3"/>
        <v>-0.15306025683361302</v>
      </c>
      <c r="DG4" s="100">
        <f t="shared" si="3"/>
        <v>-0.14561046376661857</v>
      </c>
      <c r="DH4" s="100">
        <f t="shared" si="3"/>
        <v>-0.17142560260900799</v>
      </c>
      <c r="DI4" s="100"/>
      <c r="DJ4" s="100" t="str">
        <f>IFERROR(BX4/BE4,"")</f>
        <v/>
      </c>
      <c r="DK4" s="100">
        <f>IFERROR(BY4/BF4,"")</f>
        <v>-0.1298289226857961</v>
      </c>
      <c r="DL4" s="100">
        <f>IFERROR(BZ4/BG4,"")</f>
        <v>-9.3797083171276663E-2</v>
      </c>
      <c r="DM4" s="100">
        <f>IFERROR(CA4/BH4,"")</f>
        <v>-0.14389704838750364</v>
      </c>
      <c r="DN4" s="100"/>
      <c r="DO4" s="100">
        <f t="shared" ref="DO4:DO45" si="4">IFERROR(CC4/BJ4,"")</f>
        <v>-0.14389704838750364</v>
      </c>
      <c r="DP4" s="101" t="str">
        <f t="shared" ref="DP4:DW4" si="5">IF(BK4/CD4=0,"",BK4/CD4)</f>
        <v/>
      </c>
      <c r="DQ4" s="101" t="str">
        <f t="shared" si="5"/>
        <v/>
      </c>
      <c r="DR4" s="101" t="str">
        <f t="shared" si="5"/>
        <v/>
      </c>
      <c r="DS4" s="101" t="str">
        <f t="shared" si="5"/>
        <v/>
      </c>
      <c r="DT4" s="101">
        <f t="shared" si="5"/>
        <v>-2.1257901578458682</v>
      </c>
      <c r="DU4" s="101">
        <f t="shared" si="5"/>
        <v>-2.5281337047353762</v>
      </c>
      <c r="DV4" s="101">
        <f t="shared" si="5"/>
        <v>-2.3730923749348913</v>
      </c>
      <c r="DW4" s="101">
        <f t="shared" si="5"/>
        <v>-3.216914192540254</v>
      </c>
      <c r="DX4" s="101">
        <f t="shared" ref="DX4:EA19" si="6">IF(BT4/CL4=0,"",BT4/CL4)</f>
        <v>-2.977068188509183</v>
      </c>
      <c r="DY4" s="101">
        <f t="shared" si="6"/>
        <v>-3.5844308450810511</v>
      </c>
      <c r="DZ4" s="101">
        <f t="shared" si="6"/>
        <v>-3.9358104644709258</v>
      </c>
      <c r="EA4" s="101" t="e">
        <f t="shared" si="6"/>
        <v>#DIV/0!</v>
      </c>
      <c r="EB4" s="101"/>
      <c r="EC4" s="101" t="str">
        <f>IF(BX4/CQ4=0,"",BX4/CQ4)</f>
        <v/>
      </c>
      <c r="ED4" s="101">
        <f>IF(BY4/CR4=0,"",BY4/CR4)</f>
        <v>-2.0680971168437026</v>
      </c>
      <c r="EE4" s="101">
        <f>IF(BZ4/CS4=0,"",BZ4/CS4)</f>
        <v>-2.5638717516650047</v>
      </c>
      <c r="EF4" s="101" t="e">
        <f>IF(CA4/CT4=0,"",CA4/CT4)</f>
        <v>#DIV/0!</v>
      </c>
      <c r="EG4" s="101"/>
      <c r="EH4" s="101">
        <f t="shared" ref="EH4:EH45" si="7">IF(CC4/CV4=0,"",CC4/CV4)</f>
        <v>-3.387351549624503</v>
      </c>
      <c r="EI4" s="100" t="str">
        <f t="shared" ref="EI4:ET19" si="8">IFERROR(CD4/AR4,"")</f>
        <v/>
      </c>
      <c r="EJ4" s="100" t="str">
        <f t="shared" si="8"/>
        <v/>
      </c>
      <c r="EK4" s="100" t="str">
        <f t="shared" si="8"/>
        <v/>
      </c>
      <c r="EL4" s="100" t="str">
        <f t="shared" si="8"/>
        <v/>
      </c>
      <c r="EM4" s="100">
        <f t="shared" si="8"/>
        <v>4.0195290142069635E-2</v>
      </c>
      <c r="EN4" s="100">
        <f t="shared" si="8"/>
        <v>3.626414520527392E-2</v>
      </c>
      <c r="EO4" s="100">
        <f t="shared" si="8"/>
        <v>3.2479796135418411E-2</v>
      </c>
      <c r="EP4" s="100">
        <f t="shared" si="8"/>
        <v>3.8401596112158647E-2</v>
      </c>
      <c r="EQ4" s="100">
        <f t="shared" si="8"/>
        <v>3.8593054735941247E-2</v>
      </c>
      <c r="ER4" s="100">
        <f t="shared" si="8"/>
        <v>4.2701411590534401E-2</v>
      </c>
      <c r="ES4" s="100">
        <f t="shared" si="8"/>
        <v>3.6996309929317787E-2</v>
      </c>
      <c r="ET4" s="100">
        <f t="shared" si="8"/>
        <v>0</v>
      </c>
      <c r="EU4" s="100"/>
      <c r="EV4" s="100" t="str">
        <f>IFERROR(CQ4/BE4,"")</f>
        <v/>
      </c>
      <c r="EW4" s="100">
        <f>IFERROR(CR4/BF4,"")</f>
        <v>6.2776995155787926E-2</v>
      </c>
      <c r="EX4" s="100">
        <f>IFERROR(CS4/BG4,"")</f>
        <v>3.6584155627271089E-2</v>
      </c>
      <c r="EY4" s="100">
        <f>IFERROR(CT4/BH4,"")</f>
        <v>0</v>
      </c>
      <c r="EZ4" s="100"/>
      <c r="FA4" s="100">
        <f t="shared" ref="FA4:FA45" si="9">IFERROR(CV4/BJ4,"")</f>
        <v>4.2480695103363282E-2</v>
      </c>
      <c r="FB4" s="102" t="str">
        <f t="shared" ref="FB4:FB45" si="10">IF(IF(IF(Z4="",X4,Z4)="",W4,(IF(Z4="",X4,Z4)))=0,"",(IF(IF(Z4="",X4,Z4)="",W4,(IF(Z4="",X4,Z4)))))</f>
        <v/>
      </c>
      <c r="FC4" s="103"/>
      <c r="FD4" s="104" t="str">
        <f t="shared" ref="FD4:FD45" si="11">IF(IF(IF(AQ4="",AO4,AQ4)="",AN4,(IF(AQ4="",AO4,AQ4)))=0,"",(IF(IF(AQ4="",AO4,AQ4)="",AN4,(IF(AQ4="",AO4,AQ4)))))</f>
        <v/>
      </c>
      <c r="FE4" s="105"/>
      <c r="FF4" s="106">
        <f t="shared" ref="FF4:FF45" si="12">IF(IF(IF(BJ4="",BG4,BJ4)="",BF4,(IF(BJ4="",BG4,BJ4)))=0,"",(IF(IF(BJ4="",BG4,BJ4)="",BF4,(IF(BJ4="",BG4,BJ4)))))</f>
        <v>26203067</v>
      </c>
      <c r="FG4" s="107">
        <f>FF4/BG4-1</f>
        <v>-0.12090779734304347</v>
      </c>
      <c r="FH4" s="106">
        <f t="shared" ref="FH4:FH45" si="13">IF(IF(IF(CC4="",BZ4,CC4)="",BY4,(IF(CC4="",BZ4,CC4)))=0,"",(IF(IF(CC4="",BZ4,CC4)="",BY4,(IF(CC4="",BZ4,CC4)))))</f>
        <v>-3770544</v>
      </c>
      <c r="FI4" s="107">
        <f>FH4/BZ4-1</f>
        <v>0.3486429315911046</v>
      </c>
      <c r="FJ4" s="108">
        <f t="shared" ref="FJ4:FJ45" si="14">IF(IF(IF(CV4="",CS4,CV4)="",CR4,(IF(CV4="",CS4,CV4)))=0,"",(IF(IF(CV4="",CS4,CV4)="",CR4,(IF(CV4="",CS4,CV4)))))</f>
        <v>1113124.5</v>
      </c>
      <c r="FK4" s="109">
        <f t="shared" ref="FK4:FK45" si="15">IFERROR(FH4/FF4,"")</f>
        <v>-0.14389704838750364</v>
      </c>
      <c r="FL4" s="110">
        <f t="shared" ref="FL4:FL45" si="16">IFERROR(FH4/FJ4,"")</f>
        <v>-3.387351549624503</v>
      </c>
      <c r="FM4" s="54">
        <f t="shared" ref="FM4:FM21" si="17">EE4</f>
        <v>-2.5638717516650047</v>
      </c>
      <c r="FN4" s="111">
        <f t="shared" ref="FN4:FN45" si="18">IFERROR(FJ4/FF4,"")</f>
        <v>4.2480695103363282E-2</v>
      </c>
      <c r="FO4" s="112" t="s">
        <v>40</v>
      </c>
      <c r="FP4" s="113" t="s">
        <v>66</v>
      </c>
      <c r="FQ4" s="114"/>
      <c r="FR4" s="114" t="s">
        <v>224</v>
      </c>
      <c r="FS4" s="115" t="s">
        <v>224</v>
      </c>
      <c r="FT4" t="s">
        <v>225</v>
      </c>
      <c r="FU4" t="s">
        <v>226</v>
      </c>
      <c r="FV4" t="s">
        <v>227</v>
      </c>
      <c r="FW4" t="s">
        <v>228</v>
      </c>
      <c r="FX4" s="116" t="s">
        <v>229</v>
      </c>
    </row>
    <row r="5" spans="1:180" x14ac:dyDescent="0.25">
      <c r="A5" s="36" t="s">
        <v>230</v>
      </c>
      <c r="B5" s="37" t="s">
        <v>231</v>
      </c>
      <c r="C5" s="37" t="str">
        <f>INDEX('[1]Property Summary'!A:A,MATCH($A5,'[1]Property Summary'!$AC:$AC,FALSE))</f>
        <v>3030 North Military Trail</v>
      </c>
      <c r="D5" s="37" t="str">
        <f>INDEX('[1]Property Summary'!B:B,MATCH($A5,'[1]Property Summary'!$AC:$AC,FALSE))</f>
        <v>West Palm Beach</v>
      </c>
      <c r="E5" s="37" t="str">
        <f>INDEX('[1]Property Summary'!C:C,MATCH($A5,'[1]Property Summary'!$AC:$AC,FALSE))</f>
        <v>FL</v>
      </c>
      <c r="F5" s="37">
        <f>INDEX('[1]Property Summary'!D:D,MATCH($A5,'[1]Property Summary'!$AC:$AC,FALSE))</f>
        <v>33409</v>
      </c>
      <c r="G5" s="37" t="s">
        <v>232</v>
      </c>
      <c r="H5" s="37" t="str">
        <f>INDEX('[1]Property Summary'!F:F,MATCH($A5,'[1]Property Summary'!$AC:$AC,FALSE))</f>
        <v>Trinity Petro I LLC</v>
      </c>
      <c r="I5" s="83" t="str">
        <f>INDEX('[1]Property Summary'!H:H,MATCH($A5,'[1]Property Summary'!$AC:$AC,FALSE))</f>
        <v>Convenience Stores</v>
      </c>
      <c r="R5" s="39">
        <v>55000</v>
      </c>
      <c r="S5" s="39">
        <f>137500-R5</f>
        <v>82500</v>
      </c>
      <c r="T5" s="39">
        <f>137500-S5-R5</f>
        <v>0</v>
      </c>
      <c r="U5" s="39">
        <f>137500-T5-S5-R5</f>
        <v>0</v>
      </c>
      <c r="Z5" s="39">
        <f>SUM(R5:U5)</f>
        <v>137500</v>
      </c>
      <c r="AI5" s="117">
        <v>0</v>
      </c>
      <c r="AJ5" s="117">
        <f>0</f>
        <v>0</v>
      </c>
      <c r="AK5" s="117">
        <v>0</v>
      </c>
      <c r="AL5" s="117">
        <v>0</v>
      </c>
      <c r="AQ5" s="117">
        <f>SUM(AI5:AL5)</f>
        <v>0</v>
      </c>
      <c r="AZ5" s="39">
        <v>55000</v>
      </c>
      <c r="BA5" s="39">
        <v>82500</v>
      </c>
      <c r="BB5" s="39">
        <f>137500-BA5-AZ5</f>
        <v>0</v>
      </c>
      <c r="BC5" s="39">
        <f>137500-BB5-BA5-AZ5</f>
        <v>0</v>
      </c>
      <c r="BJ5" s="39">
        <f t="shared" si="0"/>
        <v>137500</v>
      </c>
      <c r="BT5" s="39">
        <v>55000</v>
      </c>
      <c r="BU5" s="39">
        <f>126454-BT5</f>
        <v>71454</v>
      </c>
      <c r="BV5" s="39">
        <f>115408-BU5-BT5</f>
        <v>-11046</v>
      </c>
      <c r="BW5" s="39">
        <f>110844-BV5-BU5-BT5</f>
        <v>-4564</v>
      </c>
      <c r="CC5" s="39">
        <f t="shared" si="1"/>
        <v>110844</v>
      </c>
      <c r="CL5" s="39">
        <f>(165000+165000)/6</f>
        <v>55000</v>
      </c>
      <c r="CM5" s="39">
        <f>(165000+165000+165000)/6</f>
        <v>82500</v>
      </c>
      <c r="CN5" s="39">
        <f>(165000+185000+185000)/6</f>
        <v>89166.666666666672</v>
      </c>
      <c r="CO5" s="39">
        <f>319165-CN5-CM5-CL5</f>
        <v>92498.333333333314</v>
      </c>
      <c r="CV5" s="39">
        <f>SUM(CL5:CO5)</f>
        <v>319165</v>
      </c>
      <c r="CW5" s="43" t="str">
        <f t="shared" si="2"/>
        <v/>
      </c>
      <c r="CX5" s="43" t="str">
        <f t="shared" si="2"/>
        <v/>
      </c>
      <c r="CY5" s="43" t="str">
        <f t="shared" si="2"/>
        <v/>
      </c>
      <c r="CZ5" s="43" t="str">
        <f t="shared" si="2"/>
        <v/>
      </c>
      <c r="DA5" s="43" t="str">
        <f t="shared" si="2"/>
        <v/>
      </c>
      <c r="DB5" s="43" t="str">
        <f t="shared" si="2"/>
        <v/>
      </c>
      <c r="DC5" s="43" t="str">
        <f t="shared" si="2"/>
        <v/>
      </c>
      <c r="DD5" s="43" t="str">
        <f t="shared" si="2"/>
        <v/>
      </c>
      <c r="DE5" s="43">
        <f t="shared" si="3"/>
        <v>1</v>
      </c>
      <c r="DF5" s="43">
        <f t="shared" si="3"/>
        <v>0.86610909090909094</v>
      </c>
      <c r="DG5" s="43" t="str">
        <f t="shared" si="3"/>
        <v/>
      </c>
      <c r="DH5" s="43" t="str">
        <f t="shared" si="3"/>
        <v/>
      </c>
      <c r="DI5" s="43"/>
      <c r="DJ5" s="43" t="str">
        <f t="shared" ref="DJ5:DM20" si="19">IFERROR(BX5/BE5,"")</f>
        <v/>
      </c>
      <c r="DK5" s="43" t="str">
        <f t="shared" si="19"/>
        <v/>
      </c>
      <c r="DL5" s="43" t="str">
        <f t="shared" si="19"/>
        <v/>
      </c>
      <c r="DM5" s="43"/>
      <c r="DN5" s="43"/>
      <c r="DO5" s="43">
        <f t="shared" si="4"/>
        <v>0.80613818181818186</v>
      </c>
      <c r="DP5" s="118"/>
      <c r="DQ5" s="118"/>
      <c r="DR5" s="118"/>
      <c r="DS5" s="118"/>
      <c r="DT5" s="118"/>
      <c r="DU5" s="118"/>
      <c r="DV5" s="118"/>
      <c r="DW5" s="118"/>
      <c r="DX5" s="118">
        <f t="shared" si="6"/>
        <v>1</v>
      </c>
      <c r="DY5" s="118">
        <f t="shared" si="6"/>
        <v>0.86610909090909094</v>
      </c>
      <c r="DZ5" s="118">
        <f t="shared" si="6"/>
        <v>-0.12388037383177569</v>
      </c>
      <c r="EA5" s="118">
        <f t="shared" si="6"/>
        <v>-4.9341429575307676E-2</v>
      </c>
      <c r="EB5" s="118"/>
      <c r="EC5" s="118"/>
      <c r="ED5" s="118"/>
      <c r="EE5" s="118"/>
      <c r="EF5" s="118"/>
      <c r="EG5" s="118"/>
      <c r="EH5" s="118">
        <f t="shared" si="7"/>
        <v>0.34729371954944932</v>
      </c>
      <c r="EI5" s="43" t="str">
        <f t="shared" si="8"/>
        <v/>
      </c>
      <c r="EJ5" s="43" t="str">
        <f t="shared" si="8"/>
        <v/>
      </c>
      <c r="EK5" s="43" t="str">
        <f t="shared" si="8"/>
        <v/>
      </c>
      <c r="EL5" s="43" t="str">
        <f t="shared" si="8"/>
        <v/>
      </c>
      <c r="EM5" s="43" t="str">
        <f t="shared" si="8"/>
        <v/>
      </c>
      <c r="EN5" s="43" t="str">
        <f t="shared" si="8"/>
        <v/>
      </c>
      <c r="EO5" s="43" t="str">
        <f t="shared" si="8"/>
        <v/>
      </c>
      <c r="EP5" s="43" t="str">
        <f t="shared" si="8"/>
        <v/>
      </c>
      <c r="EQ5" s="43">
        <f t="shared" si="8"/>
        <v>1</v>
      </c>
      <c r="ER5" s="43">
        <f t="shared" si="8"/>
        <v>1</v>
      </c>
      <c r="ES5" s="119" t="str">
        <f t="shared" si="8"/>
        <v/>
      </c>
      <c r="ET5" s="119" t="str">
        <f t="shared" si="8"/>
        <v/>
      </c>
      <c r="EU5" s="119"/>
      <c r="EV5" s="43" t="str">
        <f t="shared" ref="EV5:EY20" si="20">IFERROR(CQ5/BE5,"")</f>
        <v/>
      </c>
      <c r="EW5" s="43" t="str">
        <f t="shared" si="20"/>
        <v/>
      </c>
      <c r="EX5" s="43" t="str">
        <f t="shared" si="20"/>
        <v/>
      </c>
      <c r="EY5" s="43"/>
      <c r="EZ5" s="43"/>
      <c r="FA5" s="43">
        <f t="shared" si="9"/>
        <v>2.3212000000000002</v>
      </c>
      <c r="FB5" s="120">
        <f t="shared" si="10"/>
        <v>137500</v>
      </c>
      <c r="FC5" s="121"/>
      <c r="FD5" s="122" t="str">
        <f t="shared" si="11"/>
        <v/>
      </c>
      <c r="FE5" s="123"/>
      <c r="FF5" s="49">
        <f t="shared" si="12"/>
        <v>137500</v>
      </c>
      <c r="FG5" s="50"/>
      <c r="FH5" s="49">
        <f t="shared" si="13"/>
        <v>110844</v>
      </c>
      <c r="FI5" s="38"/>
      <c r="FJ5" s="84">
        <f t="shared" si="14"/>
        <v>319165</v>
      </c>
      <c r="FK5" s="51">
        <f t="shared" si="15"/>
        <v>0.80613818181818186</v>
      </c>
      <c r="FL5" s="110">
        <f t="shared" si="16"/>
        <v>0.34729371954944932</v>
      </c>
      <c r="FM5" s="54">
        <f t="shared" si="17"/>
        <v>0</v>
      </c>
      <c r="FN5" s="51">
        <f t="shared" si="18"/>
        <v>2.3212000000000002</v>
      </c>
      <c r="FO5" s="55" t="s">
        <v>40</v>
      </c>
      <c r="FP5" s="124" t="s">
        <v>66</v>
      </c>
      <c r="FR5" s="125" t="s">
        <v>233</v>
      </c>
      <c r="FS5" s="126"/>
      <c r="FX5" s="59"/>
    </row>
    <row r="6" spans="1:180" s="128" customFormat="1" x14ac:dyDescent="0.25">
      <c r="A6" s="36" t="s">
        <v>234</v>
      </c>
      <c r="B6" s="37" t="s">
        <v>235</v>
      </c>
      <c r="C6" s="37" t="str">
        <f>INDEX('[1]Property Summary'!A:A,MATCH($A6,'[1]Property Summary'!$AC:$AC,FALSE))</f>
        <v>1602 Reid Street</v>
      </c>
      <c r="D6" s="37" t="str">
        <f>INDEX('[1]Property Summary'!B:B,MATCH($A6,'[1]Property Summary'!$AC:$AC,FALSE))</f>
        <v>Palatka</v>
      </c>
      <c r="E6" s="37" t="str">
        <f>INDEX('[1]Property Summary'!C:C,MATCH($A6,'[1]Property Summary'!$AC:$AC,FALSE))</f>
        <v>FL</v>
      </c>
      <c r="F6" s="37">
        <f>INDEX('[1]Property Summary'!D:D,MATCH($A6,'[1]Property Summary'!$AC:$AC,FALSE))</f>
        <v>32177</v>
      </c>
      <c r="G6" s="37" t="str">
        <f>INDEX('[1]Property Summary'!E:E,MATCH($A6,'[1]Property Summary'!$AC:$AC,FALSE))</f>
        <v>Dominos</v>
      </c>
      <c r="H6" s="37" t="str">
        <f>INDEX('[1]Property Summary'!F:F,MATCH($A6,'[1]Property Summary'!$AC:$AC,FALSE))</f>
        <v>MVM Pizza, LLC</v>
      </c>
      <c r="I6" s="83" t="str">
        <f>INDEX('[1]Property Summary'!H:H,MATCH($A6,'[1]Property Summary'!$AC:$AC,FALSE))</f>
        <v>Restaurants</v>
      </c>
      <c r="J6" s="39"/>
      <c r="K6" s="39"/>
      <c r="L6" s="39"/>
      <c r="M6" s="39"/>
      <c r="N6" s="39"/>
      <c r="O6" s="39"/>
      <c r="P6" s="39"/>
      <c r="Q6" s="39"/>
      <c r="R6" s="39"/>
      <c r="S6" s="39"/>
      <c r="T6" s="39"/>
      <c r="U6" s="39"/>
      <c r="V6" s="39"/>
      <c r="W6" s="39"/>
      <c r="X6" s="39"/>
      <c r="Y6" s="39"/>
      <c r="Z6" s="39"/>
      <c r="AA6" s="117"/>
      <c r="AB6" s="117"/>
      <c r="AC6" s="117"/>
      <c r="AD6" s="117"/>
      <c r="AE6" s="117"/>
      <c r="AF6" s="117"/>
      <c r="AG6" s="117"/>
      <c r="AH6" s="117"/>
      <c r="AI6" s="117"/>
      <c r="AJ6" s="117"/>
      <c r="AK6" s="117"/>
      <c r="AL6" s="117"/>
      <c r="AM6" s="117"/>
      <c r="AN6" s="117"/>
      <c r="AO6" s="117"/>
      <c r="AP6" s="117"/>
      <c r="AQ6" s="117"/>
      <c r="AR6" s="39"/>
      <c r="AS6" s="39"/>
      <c r="AT6" s="39"/>
      <c r="AU6" s="39">
        <f>86710+86118+93759</f>
        <v>266587</v>
      </c>
      <c r="AV6" s="39">
        <v>293588</v>
      </c>
      <c r="AW6" s="39">
        <v>294166</v>
      </c>
      <c r="AX6" s="39">
        <v>271812</v>
      </c>
      <c r="AY6" s="39">
        <f>BG6-SUM(AV6:AX6)</f>
        <v>379493</v>
      </c>
      <c r="AZ6" s="39">
        <v>305054.44</v>
      </c>
      <c r="BA6" s="39">
        <v>297866</v>
      </c>
      <c r="BB6" s="39">
        <v>286157</v>
      </c>
      <c r="BC6" s="39">
        <f>BH6-SUM(AZ6:BB6)</f>
        <v>377030.56000000006</v>
      </c>
      <c r="BD6" s="39"/>
      <c r="BE6" s="39"/>
      <c r="BF6" s="39">
        <v>1184438</v>
      </c>
      <c r="BG6" s="39">
        <v>1239059</v>
      </c>
      <c r="BH6" s="39">
        <v>1266108</v>
      </c>
      <c r="BI6" s="39"/>
      <c r="BJ6" s="39">
        <f t="shared" si="0"/>
        <v>1266108</v>
      </c>
      <c r="BK6" s="39"/>
      <c r="BL6" s="39"/>
      <c r="BM6" s="39"/>
      <c r="BN6" s="39">
        <f>-14534+3310+3655+3310+4916+-276</f>
        <v>381</v>
      </c>
      <c r="BO6" s="39">
        <f>3436+9931</f>
        <v>13367</v>
      </c>
      <c r="BP6" s="39">
        <f>-12807+1093+9931</f>
        <v>-1783</v>
      </c>
      <c r="BQ6" s="39">
        <f>-23923+1305+9331</f>
        <v>-13287</v>
      </c>
      <c r="BR6" s="39">
        <f>BZ6-BQ6-BP6-BO6</f>
        <v>6096</v>
      </c>
      <c r="BS6" s="39"/>
      <c r="BT6" s="39">
        <f>-9946.74+9931.26+1173.03</f>
        <v>1157.5500000000004</v>
      </c>
      <c r="BU6" s="39">
        <f>-2979+1140+9931</f>
        <v>8092</v>
      </c>
      <c r="BV6" s="39">
        <f>-8174+9931+750</f>
        <v>2507</v>
      </c>
      <c r="BW6" s="39">
        <f>4550+3307+175</f>
        <v>8032</v>
      </c>
      <c r="BX6" s="39"/>
      <c r="BY6" s="39">
        <f>12305+39691</f>
        <v>51996</v>
      </c>
      <c r="BZ6" s="39">
        <f>-41881+3239+43035</f>
        <v>4393</v>
      </c>
      <c r="CA6" s="39">
        <f>SUM(BT6:BW6)</f>
        <v>19788.550000000003</v>
      </c>
      <c r="CB6" s="39"/>
      <c r="CC6" s="39">
        <f t="shared" si="1"/>
        <v>19788.550000000003</v>
      </c>
      <c r="CD6" s="39">
        <v>10758.858917286816</v>
      </c>
      <c r="CE6" s="39">
        <v>10902.310369517307</v>
      </c>
      <c r="CF6" s="39">
        <v>10974.036095632553</v>
      </c>
      <c r="CG6" s="39">
        <v>10974.036095632553</v>
      </c>
      <c r="CH6" s="39">
        <v>10974.036095632553</v>
      </c>
      <c r="CI6" s="39">
        <v>11120.356576907654</v>
      </c>
      <c r="CJ6" s="39">
        <v>11193.516817545204</v>
      </c>
      <c r="CK6" s="39">
        <v>11193.516817545204</v>
      </c>
      <c r="CL6" s="39">
        <v>11193.516817545204</v>
      </c>
      <c r="CM6" s="39">
        <v>11342.763708445807</v>
      </c>
      <c r="CN6" s="39">
        <v>11417</v>
      </c>
      <c r="CO6" s="39"/>
      <c r="CP6" s="39"/>
      <c r="CQ6" s="39">
        <v>42754.15831183258</v>
      </c>
      <c r="CR6" s="39">
        <f>SUM(CD6:CG6)</f>
        <v>43609.241478069227</v>
      </c>
      <c r="CS6" s="39">
        <f>SUM(CH6:CK6)</f>
        <v>44481.426307630616</v>
      </c>
      <c r="CT6" s="39"/>
      <c r="CU6" s="39"/>
      <c r="CV6" s="39">
        <f>SUM(CK6:CN6)</f>
        <v>45146.797343536215</v>
      </c>
      <c r="CW6" s="43" t="str">
        <f t="shared" si="2"/>
        <v/>
      </c>
      <c r="CX6" s="43" t="str">
        <f t="shared" si="2"/>
        <v/>
      </c>
      <c r="CY6" s="43" t="str">
        <f t="shared" si="2"/>
        <v/>
      </c>
      <c r="CZ6" s="43">
        <f t="shared" si="2"/>
        <v>1.4291769666187773E-3</v>
      </c>
      <c r="DA6" s="43">
        <f t="shared" si="2"/>
        <v>4.5529790045914682E-2</v>
      </c>
      <c r="DB6" s="43">
        <f t="shared" si="2"/>
        <v>-6.0612035381383302E-3</v>
      </c>
      <c r="DC6" s="43">
        <f t="shared" si="2"/>
        <v>-4.8883051520904157E-2</v>
      </c>
      <c r="DD6" s="43">
        <f t="shared" si="2"/>
        <v>1.6063537403851982E-2</v>
      </c>
      <c r="DE6" s="43">
        <f t="shared" si="3"/>
        <v>3.794568602246866E-3</v>
      </c>
      <c r="DF6" s="43">
        <f t="shared" si="3"/>
        <v>2.7166578260022962E-2</v>
      </c>
      <c r="DG6" s="43">
        <f t="shared" si="3"/>
        <v>8.7609249467949409E-3</v>
      </c>
      <c r="DH6" s="43">
        <f t="shared" si="3"/>
        <v>2.1303312919780291E-2</v>
      </c>
      <c r="DI6" s="43"/>
      <c r="DJ6" s="43" t="str">
        <f t="shared" si="19"/>
        <v/>
      </c>
      <c r="DK6" s="43">
        <f t="shared" si="19"/>
        <v>4.3899300765426301E-2</v>
      </c>
      <c r="DL6" s="43">
        <f t="shared" si="19"/>
        <v>3.545432461246801E-3</v>
      </c>
      <c r="DM6" s="43">
        <f>IFERROR(CA6/BH6,"")</f>
        <v>1.5629432876184339E-2</v>
      </c>
      <c r="DN6" s="43"/>
      <c r="DO6" s="43">
        <f t="shared" si="4"/>
        <v>1.5629432876184339E-2</v>
      </c>
      <c r="DP6" s="118" t="str">
        <f t="shared" ref="DP6:DW6" si="21">IF(BK6/CD6=0,"",BK6/CD6)</f>
        <v/>
      </c>
      <c r="DQ6" s="118" t="str">
        <f t="shared" si="21"/>
        <v/>
      </c>
      <c r="DR6" s="118" t="str">
        <f t="shared" si="21"/>
        <v/>
      </c>
      <c r="DS6" s="118">
        <f t="shared" si="21"/>
        <v>3.4718311173737651E-2</v>
      </c>
      <c r="DT6" s="118">
        <f t="shared" si="21"/>
        <v>1.2180568647227066</v>
      </c>
      <c r="DU6" s="118">
        <f t="shared" si="21"/>
        <v>-0.16033658522268501</v>
      </c>
      <c r="DV6" s="118">
        <f t="shared" si="21"/>
        <v>-1.1870264025666517</v>
      </c>
      <c r="DW6" s="118">
        <f t="shared" si="21"/>
        <v>0.54460095958804167</v>
      </c>
      <c r="DX6" s="118">
        <f t="shared" si="6"/>
        <v>0.10341253949657774</v>
      </c>
      <c r="DY6" s="118">
        <f t="shared" si="6"/>
        <v>0.71340638031405934</v>
      </c>
      <c r="DZ6" s="118">
        <f t="shared" si="6"/>
        <v>0.2195848296400105</v>
      </c>
      <c r="EA6" s="118" t="e">
        <f t="shared" si="6"/>
        <v>#DIV/0!</v>
      </c>
      <c r="EB6" s="118"/>
      <c r="EC6" s="118" t="str">
        <f>IF(BX6/CQ6=0,"",BX6/CQ6)</f>
        <v/>
      </c>
      <c r="ED6" s="118">
        <f>IF(BY6/CR6=0,"",BY6/CR6)</f>
        <v>1.1923160834188875</v>
      </c>
      <c r="EE6" s="118">
        <f>IF(BZ6/CS6=0,"",BZ6/CS6)</f>
        <v>9.8760322333602824E-2</v>
      </c>
      <c r="EF6" s="118" t="e">
        <f>IF(CA6/CT6=0,"",CA6/CT6)</f>
        <v>#DIV/0!</v>
      </c>
      <c r="EG6" s="118"/>
      <c r="EH6" s="118">
        <f t="shared" si="7"/>
        <v>0.43831569821935956</v>
      </c>
      <c r="EI6" s="43" t="str">
        <f t="shared" si="8"/>
        <v/>
      </c>
      <c r="EJ6" s="43" t="str">
        <f t="shared" si="8"/>
        <v/>
      </c>
      <c r="EK6" s="43" t="str">
        <f t="shared" si="8"/>
        <v/>
      </c>
      <c r="EL6" s="43">
        <f t="shared" si="8"/>
        <v>4.1164933382470084E-2</v>
      </c>
      <c r="EM6" s="43">
        <f t="shared" si="8"/>
        <v>3.7379034891182723E-2</v>
      </c>
      <c r="EN6" s="43">
        <f t="shared" si="8"/>
        <v>3.7802997548689016E-2</v>
      </c>
      <c r="EO6" s="43">
        <f t="shared" si="8"/>
        <v>4.1181098765121493E-2</v>
      </c>
      <c r="EP6" s="43">
        <f t="shared" si="8"/>
        <v>2.949597704712657E-2</v>
      </c>
      <c r="EQ6" s="43">
        <f t="shared" si="8"/>
        <v>3.6693505649500475E-2</v>
      </c>
      <c r="ER6" s="43">
        <f t="shared" si="8"/>
        <v>3.8080088725956661E-2</v>
      </c>
      <c r="ES6" s="43">
        <f t="shared" si="8"/>
        <v>3.9897678547091281E-2</v>
      </c>
      <c r="ET6" s="43">
        <f t="shared" si="8"/>
        <v>0</v>
      </c>
      <c r="EU6" s="43"/>
      <c r="EV6" s="43" t="str">
        <f t="shared" si="20"/>
        <v/>
      </c>
      <c r="EW6" s="43">
        <f t="shared" si="20"/>
        <v>3.6818509266056329E-2</v>
      </c>
      <c r="EX6" s="43">
        <f t="shared" si="20"/>
        <v>3.5899360972827456E-2</v>
      </c>
      <c r="EY6" s="43">
        <f>IFERROR(CT6/BH6,"")</f>
        <v>0</v>
      </c>
      <c r="EZ6" s="43"/>
      <c r="FA6" s="127">
        <f t="shared" si="9"/>
        <v>3.5657935455376807E-2</v>
      </c>
      <c r="FB6" s="120" t="str">
        <f t="shared" si="10"/>
        <v/>
      </c>
      <c r="FC6" s="52"/>
      <c r="FD6" s="122" t="str">
        <f t="shared" si="11"/>
        <v/>
      </c>
      <c r="FE6" s="123"/>
      <c r="FF6" s="49">
        <f t="shared" si="12"/>
        <v>1266108</v>
      </c>
      <c r="FG6" s="50">
        <f>FF6/BG6-1</f>
        <v>2.1830276040124108E-2</v>
      </c>
      <c r="FH6" s="49">
        <f t="shared" si="13"/>
        <v>19788.550000000003</v>
      </c>
      <c r="FI6" s="50">
        <f>FH6/BZ6-1</f>
        <v>3.5045640792169364</v>
      </c>
      <c r="FJ6" s="84">
        <f t="shared" si="14"/>
        <v>45146.797343536215</v>
      </c>
      <c r="FK6" s="51">
        <f t="shared" si="15"/>
        <v>1.5629432876184339E-2</v>
      </c>
      <c r="FL6" s="110">
        <f t="shared" si="16"/>
        <v>0.43831569821935956</v>
      </c>
      <c r="FM6" s="54">
        <f t="shared" si="17"/>
        <v>9.8760322333602824E-2</v>
      </c>
      <c r="FN6" s="121">
        <f t="shared" si="18"/>
        <v>3.5657935455376807E-2</v>
      </c>
      <c r="FO6" s="55" t="s">
        <v>40</v>
      </c>
      <c r="FP6" s="124" t="s">
        <v>66</v>
      </c>
      <c r="FQ6" s="125"/>
      <c r="FR6" s="125" t="s">
        <v>236</v>
      </c>
      <c r="FS6" s="126" t="s">
        <v>237</v>
      </c>
      <c r="FT6" s="12" t="s">
        <v>238</v>
      </c>
      <c r="FU6" s="12" t="s">
        <v>239</v>
      </c>
      <c r="FV6" s="12"/>
      <c r="FW6" s="12" t="s">
        <v>240</v>
      </c>
      <c r="FX6" s="59" t="s">
        <v>241</v>
      </c>
    </row>
    <row r="7" spans="1:180" x14ac:dyDescent="0.25">
      <c r="A7" s="36" t="s">
        <v>242</v>
      </c>
      <c r="B7" s="37" t="s">
        <v>231</v>
      </c>
      <c r="C7" s="37" t="str">
        <f>INDEX('[1]Property Summary'!A:A,MATCH($A7,'[1]Property Summary'!$AC:$AC,FALSE))</f>
        <v>10050 Stirling Rd.</v>
      </c>
      <c r="D7" s="37" t="str">
        <f>INDEX('[1]Property Summary'!B:B,MATCH($A7,'[1]Property Summary'!$AC:$AC,FALSE))</f>
        <v>Cooper City</v>
      </c>
      <c r="E7" s="37" t="str">
        <f>INDEX('[1]Property Summary'!C:C,MATCH($A7,'[1]Property Summary'!$AC:$AC,FALSE))</f>
        <v>FL</v>
      </c>
      <c r="F7" s="37">
        <f>INDEX('[1]Property Summary'!D:D,MATCH($A7,'[1]Property Summary'!$AC:$AC,FALSE))</f>
        <v>33024</v>
      </c>
      <c r="G7" s="37" t="s">
        <v>243</v>
      </c>
      <c r="H7" s="37" t="str">
        <f>INDEX('[1]Property Summary'!F:F,MATCH($A7,'[1]Property Summary'!$AC:$AC,FALSE))</f>
        <v>Trinity Petro I LLC</v>
      </c>
      <c r="I7" s="83" t="str">
        <f>INDEX('[1]Property Summary'!H:H,MATCH($A7,'[1]Property Summary'!$AC:$AC,FALSE))</f>
        <v>Convenience Stores</v>
      </c>
      <c r="R7" s="39">
        <v>21800</v>
      </c>
      <c r="S7" s="39">
        <f>91581-R7</f>
        <v>69781</v>
      </c>
      <c r="T7" s="39">
        <f>204454-S7-R7</f>
        <v>112873</v>
      </c>
      <c r="U7" s="39">
        <f>292244-T7-S7-R7</f>
        <v>87790</v>
      </c>
      <c r="Z7" s="39">
        <f>SUM(R7:U7)</f>
        <v>292244</v>
      </c>
      <c r="AI7" s="117">
        <v>46035</v>
      </c>
      <c r="AJ7" s="117">
        <f>179219-AI7</f>
        <v>133184</v>
      </c>
      <c r="AK7" s="117">
        <f>307030-AJ7-AI7</f>
        <v>127811</v>
      </c>
      <c r="AL7" s="117">
        <f>434351-AK7-AJ7-AI7</f>
        <v>127321</v>
      </c>
      <c r="AQ7" s="117">
        <f t="shared" ref="AQ7:AQ12" si="22">SUM(AI7:AL7)</f>
        <v>434351</v>
      </c>
      <c r="AZ7" s="39">
        <v>168174</v>
      </c>
      <c r="BA7" s="39">
        <f>665802-AZ7</f>
        <v>497628</v>
      </c>
      <c r="BB7" s="39">
        <f>1175169-BA7-AZ7</f>
        <v>509367</v>
      </c>
      <c r="BC7" s="39">
        <f>1740660-BB7-BA7-AZ7</f>
        <v>565491</v>
      </c>
      <c r="BJ7" s="39">
        <f t="shared" si="0"/>
        <v>1740660</v>
      </c>
      <c r="BT7" s="39">
        <v>59473</v>
      </c>
      <c r="BU7" s="39">
        <f>128952-BT7</f>
        <v>69479</v>
      </c>
      <c r="BV7" s="39">
        <f>226540-BU7-BT7</f>
        <v>97588</v>
      </c>
      <c r="BW7" s="39">
        <f>225862-BV7-BU7-BT7</f>
        <v>-678</v>
      </c>
      <c r="CC7" s="39">
        <f t="shared" si="1"/>
        <v>225862</v>
      </c>
      <c r="CL7" s="39">
        <f>(165000+165000)/6</f>
        <v>55000</v>
      </c>
      <c r="CM7" s="39">
        <f>(165000+165000+165000)/6</f>
        <v>82500</v>
      </c>
      <c r="CN7" s="39">
        <f>(165000+185000+185000)/6</f>
        <v>89166.666666666672</v>
      </c>
      <c r="CO7" s="39">
        <f>319165-CN7-CM7-CL7</f>
        <v>92498.333333333314</v>
      </c>
      <c r="CV7" s="39">
        <f t="shared" ref="CV7:CV12" si="23">SUM(CL7:CO7)</f>
        <v>319165</v>
      </c>
      <c r="CW7" s="43" t="str">
        <f t="shared" si="2"/>
        <v/>
      </c>
      <c r="CX7" s="43" t="str">
        <f t="shared" si="2"/>
        <v/>
      </c>
      <c r="CY7" s="43" t="str">
        <f t="shared" si="2"/>
        <v/>
      </c>
      <c r="CZ7" s="43" t="str">
        <f t="shared" si="2"/>
        <v/>
      </c>
      <c r="DA7" s="43" t="str">
        <f t="shared" si="2"/>
        <v/>
      </c>
      <c r="DB7" s="43" t="str">
        <f t="shared" si="2"/>
        <v/>
      </c>
      <c r="DC7" s="43" t="str">
        <f t="shared" si="2"/>
        <v/>
      </c>
      <c r="DD7" s="43" t="str">
        <f t="shared" si="2"/>
        <v/>
      </c>
      <c r="DE7" s="43">
        <f t="shared" si="3"/>
        <v>0.35363968270957463</v>
      </c>
      <c r="DF7" s="43">
        <f t="shared" si="3"/>
        <v>0.13962035898301542</v>
      </c>
      <c r="DG7" s="119">
        <f t="shared" si="3"/>
        <v>0.19158681265178151</v>
      </c>
      <c r="DH7" s="119">
        <f t="shared" si="3"/>
        <v>-1.1989580736032934E-3</v>
      </c>
      <c r="DI7" s="119"/>
      <c r="DJ7" s="43" t="str">
        <f t="shared" si="19"/>
        <v/>
      </c>
      <c r="DK7" s="43" t="str">
        <f t="shared" si="19"/>
        <v/>
      </c>
      <c r="DL7" s="43" t="str">
        <f t="shared" si="19"/>
        <v/>
      </c>
      <c r="DM7" s="43"/>
      <c r="DN7" s="43"/>
      <c r="DO7" s="43">
        <f t="shared" si="4"/>
        <v>0.12975652913262786</v>
      </c>
      <c r="DP7" s="118"/>
      <c r="DQ7" s="118"/>
      <c r="DR7" s="118"/>
      <c r="DS7" s="118"/>
      <c r="DT7" s="118"/>
      <c r="DU7" s="118"/>
      <c r="DV7" s="118"/>
      <c r="DW7" s="118"/>
      <c r="DX7" s="118">
        <f t="shared" si="6"/>
        <v>1.0813272727272727</v>
      </c>
      <c r="DY7" s="118">
        <f t="shared" si="6"/>
        <v>0.84216969696969701</v>
      </c>
      <c r="DZ7" s="118">
        <f t="shared" si="6"/>
        <v>1.094444859813084</v>
      </c>
      <c r="EA7" s="118">
        <f t="shared" si="6"/>
        <v>-7.329861799311701E-3</v>
      </c>
      <c r="EB7" s="118"/>
      <c r="EC7" s="118"/>
      <c r="ED7" s="118"/>
      <c r="EE7" s="118"/>
      <c r="EF7" s="118"/>
      <c r="EG7" s="118"/>
      <c r="EH7" s="118">
        <f t="shared" si="7"/>
        <v>0.70766531417918632</v>
      </c>
      <c r="EI7" s="43" t="str">
        <f t="shared" si="8"/>
        <v/>
      </c>
      <c r="EJ7" s="43" t="str">
        <f t="shared" si="8"/>
        <v/>
      </c>
      <c r="EK7" s="43" t="str">
        <f t="shared" si="8"/>
        <v/>
      </c>
      <c r="EL7" s="43" t="str">
        <f t="shared" si="8"/>
        <v/>
      </c>
      <c r="EM7" s="43" t="str">
        <f t="shared" si="8"/>
        <v/>
      </c>
      <c r="EN7" s="43" t="str">
        <f t="shared" si="8"/>
        <v/>
      </c>
      <c r="EO7" s="43" t="str">
        <f t="shared" si="8"/>
        <v/>
      </c>
      <c r="EP7" s="43" t="str">
        <f t="shared" si="8"/>
        <v/>
      </c>
      <c r="EQ7" s="43">
        <f t="shared" si="8"/>
        <v>0.32704223007123573</v>
      </c>
      <c r="ER7" s="43">
        <f t="shared" si="8"/>
        <v>0.16578649111384408</v>
      </c>
      <c r="ES7" s="119">
        <f t="shared" si="8"/>
        <v>0.1750538740567541</v>
      </c>
      <c r="ET7" s="119">
        <f t="shared" si="8"/>
        <v>0.16357171614284455</v>
      </c>
      <c r="EU7" s="119"/>
      <c r="EV7" s="43" t="str">
        <f t="shared" si="20"/>
        <v/>
      </c>
      <c r="EW7" s="43" t="str">
        <f t="shared" si="20"/>
        <v/>
      </c>
      <c r="EX7" s="43" t="str">
        <f t="shared" si="20"/>
        <v/>
      </c>
      <c r="EY7" s="43"/>
      <c r="EZ7" s="43"/>
      <c r="FA7" s="43">
        <f t="shared" si="9"/>
        <v>0.1833586111015362</v>
      </c>
      <c r="FB7" s="120">
        <f t="shared" si="10"/>
        <v>292244</v>
      </c>
      <c r="FC7" s="121"/>
      <c r="FD7" s="122">
        <f t="shared" si="11"/>
        <v>434351</v>
      </c>
      <c r="FE7" s="123"/>
      <c r="FF7" s="49">
        <f t="shared" si="12"/>
        <v>1740660</v>
      </c>
      <c r="FG7" s="50"/>
      <c r="FH7" s="49">
        <f t="shared" si="13"/>
        <v>225862</v>
      </c>
      <c r="FI7" s="38"/>
      <c r="FJ7" s="84">
        <f t="shared" si="14"/>
        <v>319165</v>
      </c>
      <c r="FK7" s="51">
        <f t="shared" si="15"/>
        <v>0.12975652913262786</v>
      </c>
      <c r="FL7" s="110">
        <f t="shared" si="16"/>
        <v>0.70766531417918632</v>
      </c>
      <c r="FM7" s="54">
        <f t="shared" si="17"/>
        <v>0</v>
      </c>
      <c r="FN7" s="51">
        <f t="shared" si="18"/>
        <v>0.1833586111015362</v>
      </c>
      <c r="FO7" s="55" t="s">
        <v>40</v>
      </c>
      <c r="FP7" s="124" t="s">
        <v>66</v>
      </c>
      <c r="FR7" s="125" t="s">
        <v>233</v>
      </c>
      <c r="FS7" s="126"/>
      <c r="FX7" s="59"/>
    </row>
    <row r="8" spans="1:180" customFormat="1" x14ac:dyDescent="0.25">
      <c r="A8" s="36" t="s">
        <v>244</v>
      </c>
      <c r="B8" s="37" t="s">
        <v>231</v>
      </c>
      <c r="C8" s="37" t="str">
        <f>INDEX('[1]Property Summary'!A:A,MATCH($A8,'[1]Property Summary'!$AC:$AC,FALSE))</f>
        <v>3695 NW 167 St</v>
      </c>
      <c r="D8" s="37" t="str">
        <f>INDEX('[1]Property Summary'!B:B,MATCH($A8,'[1]Property Summary'!$AC:$AC,FALSE))</f>
        <v>Miami Gardens</v>
      </c>
      <c r="E8" s="37" t="str">
        <f>INDEX('[1]Property Summary'!C:C,MATCH($A8,'[1]Property Summary'!$AC:$AC,FALSE))</f>
        <v>FL</v>
      </c>
      <c r="F8" s="37">
        <f>INDEX('[1]Property Summary'!D:D,MATCH($A8,'[1]Property Summary'!$AC:$AC,FALSE))</f>
        <v>33056</v>
      </c>
      <c r="G8" s="37" t="s">
        <v>243</v>
      </c>
      <c r="H8" s="37" t="str">
        <f>INDEX('[1]Property Summary'!F:F,MATCH($A8,'[1]Property Summary'!$AC:$AC,FALSE))</f>
        <v>Trinity Petro I LLC</v>
      </c>
      <c r="I8" s="83" t="str">
        <f>INDEX('[1]Property Summary'!H:H,MATCH($A8,'[1]Property Summary'!$AC:$AC,FALSE))</f>
        <v>Convenience Stores</v>
      </c>
      <c r="J8" s="39"/>
      <c r="K8" s="39"/>
      <c r="L8" s="39"/>
      <c r="M8" s="39"/>
      <c r="N8" s="39"/>
      <c r="O8" s="39"/>
      <c r="P8" s="39"/>
      <c r="Q8" s="39"/>
      <c r="R8" s="39">
        <v>17382</v>
      </c>
      <c r="S8" s="39">
        <f>152572-R8</f>
        <v>135190</v>
      </c>
      <c r="T8" s="39">
        <f>279084-S8-R8</f>
        <v>126512</v>
      </c>
      <c r="U8" s="39">
        <f>383948-T8-S8-R8</f>
        <v>104864</v>
      </c>
      <c r="V8" s="39"/>
      <c r="W8" s="39"/>
      <c r="X8" s="39"/>
      <c r="Y8" s="39"/>
      <c r="Z8" s="39">
        <f>SUM(R8:U8)</f>
        <v>383948</v>
      </c>
      <c r="AA8" s="117"/>
      <c r="AB8" s="117"/>
      <c r="AC8" s="117"/>
      <c r="AD8" s="117"/>
      <c r="AE8" s="117"/>
      <c r="AF8" s="117"/>
      <c r="AG8" s="117"/>
      <c r="AH8" s="117"/>
      <c r="AI8" s="117">
        <v>30755</v>
      </c>
      <c r="AJ8" s="117">
        <f>135839-AI8</f>
        <v>105084</v>
      </c>
      <c r="AK8" s="117">
        <f>247178-AJ8-AI8</f>
        <v>111339</v>
      </c>
      <c r="AL8" s="117">
        <f>358186-AK8-AJ8-AI8</f>
        <v>111008</v>
      </c>
      <c r="AM8" s="117"/>
      <c r="AN8" s="117"/>
      <c r="AO8" s="117"/>
      <c r="AP8" s="117"/>
      <c r="AQ8" s="117">
        <f t="shared" si="22"/>
        <v>358186</v>
      </c>
      <c r="AR8" s="39"/>
      <c r="AS8" s="39"/>
      <c r="AT8" s="39"/>
      <c r="AU8" s="39"/>
      <c r="AV8" s="39"/>
      <c r="AW8" s="39"/>
      <c r="AX8" s="39"/>
      <c r="AY8" s="39"/>
      <c r="AZ8" s="39">
        <v>111338</v>
      </c>
      <c r="BA8" s="39">
        <f>564356-AZ8</f>
        <v>453018</v>
      </c>
      <c r="BB8" s="39">
        <f>1033827-BA8-AZ8</f>
        <v>469471</v>
      </c>
      <c r="BC8" s="39">
        <f>1607715-BB8-BA8-AZ8</f>
        <v>573888</v>
      </c>
      <c r="BD8" s="39"/>
      <c r="BE8" s="39"/>
      <c r="BF8" s="39"/>
      <c r="BG8" s="39"/>
      <c r="BH8" s="39"/>
      <c r="BI8" s="39"/>
      <c r="BJ8" s="39">
        <f t="shared" si="0"/>
        <v>1607715</v>
      </c>
      <c r="BK8" s="39"/>
      <c r="BL8" s="39"/>
      <c r="BM8" s="39"/>
      <c r="BN8" s="39"/>
      <c r="BO8" s="39"/>
      <c r="BP8" s="39"/>
      <c r="BQ8" s="39"/>
      <c r="BR8" s="39"/>
      <c r="BS8" s="39"/>
      <c r="BT8" s="39">
        <v>39939</v>
      </c>
      <c r="BU8" s="39">
        <f>116189-BT8</f>
        <v>76250</v>
      </c>
      <c r="BV8" s="39">
        <f>199529-BU8-BT8</f>
        <v>83340</v>
      </c>
      <c r="BW8" s="39">
        <f>264046-BV8-BU8-BT8</f>
        <v>64517</v>
      </c>
      <c r="BX8" s="39"/>
      <c r="BY8" s="39"/>
      <c r="BZ8" s="39"/>
      <c r="CA8" s="39"/>
      <c r="CB8" s="39"/>
      <c r="CC8" s="39">
        <f t="shared" si="1"/>
        <v>264046</v>
      </c>
      <c r="CD8" s="39"/>
      <c r="CE8" s="39"/>
      <c r="CF8" s="39"/>
      <c r="CG8" s="39"/>
      <c r="CH8" s="39"/>
      <c r="CI8" s="39"/>
      <c r="CJ8" s="39"/>
      <c r="CK8" s="39"/>
      <c r="CL8" s="39">
        <f>(165000+165000)/6</f>
        <v>55000</v>
      </c>
      <c r="CM8" s="39">
        <f>(165000+165000+165000)/6</f>
        <v>82500</v>
      </c>
      <c r="CN8" s="39">
        <f>(165000+185000+185000)/6</f>
        <v>89166.666666666672</v>
      </c>
      <c r="CO8" s="39">
        <f>319165-CN8-CM8-CL8</f>
        <v>92498.333333333314</v>
      </c>
      <c r="CP8" s="39"/>
      <c r="CQ8" s="39"/>
      <c r="CR8" s="39"/>
      <c r="CS8" s="39"/>
      <c r="CT8" s="39"/>
      <c r="CU8" s="39"/>
      <c r="CV8" s="39">
        <f t="shared" si="23"/>
        <v>319165</v>
      </c>
      <c r="CW8" s="43" t="str">
        <f t="shared" si="2"/>
        <v/>
      </c>
      <c r="CX8" s="43" t="str">
        <f t="shared" si="2"/>
        <v/>
      </c>
      <c r="CY8" s="43" t="str">
        <f t="shared" si="2"/>
        <v/>
      </c>
      <c r="CZ8" s="43" t="str">
        <f t="shared" si="2"/>
        <v/>
      </c>
      <c r="DA8" s="43" t="str">
        <f t="shared" si="2"/>
        <v/>
      </c>
      <c r="DB8" s="43" t="str">
        <f t="shared" si="2"/>
        <v/>
      </c>
      <c r="DC8" s="43" t="str">
        <f t="shared" si="2"/>
        <v/>
      </c>
      <c r="DD8" s="43" t="str">
        <f t="shared" si="2"/>
        <v/>
      </c>
      <c r="DE8" s="43">
        <f t="shared" si="3"/>
        <v>0.35871849682947421</v>
      </c>
      <c r="DF8" s="43">
        <f t="shared" si="3"/>
        <v>0.16831560776834475</v>
      </c>
      <c r="DG8" s="119">
        <f t="shared" si="3"/>
        <v>0.17751895218234992</v>
      </c>
      <c r="DH8" s="119">
        <f t="shared" si="3"/>
        <v>0.11242089048734248</v>
      </c>
      <c r="DI8" s="119"/>
      <c r="DJ8" s="43" t="str">
        <f t="shared" si="19"/>
        <v/>
      </c>
      <c r="DK8" s="43" t="str">
        <f t="shared" si="19"/>
        <v/>
      </c>
      <c r="DL8" s="43" t="str">
        <f t="shared" si="19"/>
        <v/>
      </c>
      <c r="DM8" s="43"/>
      <c r="DN8" s="43"/>
      <c r="DO8" s="43">
        <f t="shared" si="4"/>
        <v>0.16423682058076214</v>
      </c>
      <c r="DP8" s="118"/>
      <c r="DQ8" s="118"/>
      <c r="DR8" s="118"/>
      <c r="DS8" s="118"/>
      <c r="DT8" s="118"/>
      <c r="DU8" s="118"/>
      <c r="DV8" s="118"/>
      <c r="DW8" s="118"/>
      <c r="DX8" s="118">
        <f t="shared" si="6"/>
        <v>0.72616363636363634</v>
      </c>
      <c r="DY8" s="118">
        <f t="shared" si="6"/>
        <v>0.9242424242424242</v>
      </c>
      <c r="DZ8" s="118">
        <f t="shared" si="6"/>
        <v>0.93465420560747658</v>
      </c>
      <c r="EA8" s="118">
        <f t="shared" si="6"/>
        <v>0.69749364853420792</v>
      </c>
      <c r="EB8" s="118"/>
      <c r="EC8" s="118"/>
      <c r="ED8" s="118"/>
      <c r="EE8" s="118"/>
      <c r="EF8" s="118"/>
      <c r="EG8" s="118"/>
      <c r="EH8" s="118">
        <f t="shared" si="7"/>
        <v>0.82730249244121379</v>
      </c>
      <c r="EI8" s="43" t="str">
        <f t="shared" si="8"/>
        <v/>
      </c>
      <c r="EJ8" s="43" t="str">
        <f t="shared" si="8"/>
        <v/>
      </c>
      <c r="EK8" s="43" t="str">
        <f t="shared" si="8"/>
        <v/>
      </c>
      <c r="EL8" s="43" t="str">
        <f t="shared" si="8"/>
        <v/>
      </c>
      <c r="EM8" s="43" t="str">
        <f t="shared" si="8"/>
        <v/>
      </c>
      <c r="EN8" s="43" t="str">
        <f t="shared" si="8"/>
        <v/>
      </c>
      <c r="EO8" s="43" t="str">
        <f t="shared" si="8"/>
        <v/>
      </c>
      <c r="EP8" s="43" t="str">
        <f t="shared" si="8"/>
        <v/>
      </c>
      <c r="EQ8" s="43">
        <f t="shared" si="8"/>
        <v>0.49399126982701325</v>
      </c>
      <c r="ER8" s="43">
        <f t="shared" si="8"/>
        <v>0.18211196906083202</v>
      </c>
      <c r="ES8" s="119">
        <f t="shared" si="8"/>
        <v>0.18993008442836015</v>
      </c>
      <c r="ET8" s="119">
        <f t="shared" si="8"/>
        <v>0.16117837162187276</v>
      </c>
      <c r="EU8" s="119"/>
      <c r="EV8" s="43" t="str">
        <f t="shared" si="20"/>
        <v/>
      </c>
      <c r="EW8" s="43" t="str">
        <f t="shared" si="20"/>
        <v/>
      </c>
      <c r="EX8" s="43" t="str">
        <f t="shared" si="20"/>
        <v/>
      </c>
      <c r="EY8" s="43"/>
      <c r="EZ8" s="43"/>
      <c r="FA8" s="43">
        <f t="shared" si="9"/>
        <v>0.1985208821215203</v>
      </c>
      <c r="FB8" s="120">
        <f t="shared" si="10"/>
        <v>383948</v>
      </c>
      <c r="FC8" s="121"/>
      <c r="FD8" s="122">
        <f t="shared" si="11"/>
        <v>358186</v>
      </c>
      <c r="FE8" s="123"/>
      <c r="FF8" s="49">
        <f t="shared" si="12"/>
        <v>1607715</v>
      </c>
      <c r="FG8" s="50"/>
      <c r="FH8" s="49">
        <f t="shared" si="13"/>
        <v>264046</v>
      </c>
      <c r="FI8" s="38"/>
      <c r="FJ8" s="84">
        <f t="shared" si="14"/>
        <v>319165</v>
      </c>
      <c r="FK8" s="51">
        <f t="shared" si="15"/>
        <v>0.16423682058076214</v>
      </c>
      <c r="FL8" s="110">
        <f t="shared" si="16"/>
        <v>0.82730249244121379</v>
      </c>
      <c r="FM8" s="54">
        <f t="shared" si="17"/>
        <v>0</v>
      </c>
      <c r="FN8" s="51">
        <f t="shared" si="18"/>
        <v>0.1985208821215203</v>
      </c>
      <c r="FO8" s="55" t="s">
        <v>40</v>
      </c>
      <c r="FP8" s="124" t="s">
        <v>66</v>
      </c>
      <c r="FQ8" s="125"/>
      <c r="FR8" s="125" t="s">
        <v>233</v>
      </c>
      <c r="FS8" s="126"/>
      <c r="FT8" s="12"/>
      <c r="FU8" s="12"/>
      <c r="FV8" s="12"/>
      <c r="FW8" s="12"/>
      <c r="FX8" s="59"/>
    </row>
    <row r="9" spans="1:180" x14ac:dyDescent="0.25">
      <c r="A9" s="36" t="s">
        <v>245</v>
      </c>
      <c r="B9" s="37" t="s">
        <v>246</v>
      </c>
      <c r="C9" s="37" t="str">
        <f>INDEX('[1]Property Summary'!A:A,MATCH($A9,'[1]Property Summary'!$AC:$AC,FALSE))</f>
        <v>2521 Empire Drive</v>
      </c>
      <c r="D9" s="37" t="str">
        <f>INDEX('[1]Property Summary'!B:B,MATCH($A9,'[1]Property Summary'!$AC:$AC,FALSE))</f>
        <v>Winston-Salem</v>
      </c>
      <c r="E9" s="37" t="str">
        <f>INDEX('[1]Property Summary'!C:C,MATCH($A9,'[1]Property Summary'!$AC:$AC,FALSE))</f>
        <v>NC</v>
      </c>
      <c r="F9" s="37">
        <f>INDEX('[1]Property Summary'!D:D,MATCH($A9,'[1]Property Summary'!$AC:$AC,FALSE))</f>
        <v>27103</v>
      </c>
      <c r="G9" s="37" t="str">
        <f>INDEX('[1]Property Summary'!E:E,MATCH($A9,'[1]Property Summary'!$AC:$AC,FALSE))</f>
        <v>GPM</v>
      </c>
      <c r="H9" s="37" t="str">
        <f>INDEX('[1]Property Summary'!F:F,MATCH($A9,'[1]Property Summary'!$AC:$AC,FALSE))</f>
        <v>GPM Empire, LLC</v>
      </c>
      <c r="I9" s="83" t="str">
        <f>INDEX('[1]Property Summary'!H:H,MATCH($A9,'[1]Property Summary'!$AC:$AC,FALSE))</f>
        <v>Convenience Stores</v>
      </c>
      <c r="AA9" s="117">
        <v>77546</v>
      </c>
      <c r="AB9" s="117">
        <v>93863</v>
      </c>
      <c r="AC9" s="117">
        <v>88024</v>
      </c>
      <c r="AD9" s="117">
        <v>82206</v>
      </c>
      <c r="AE9" s="117">
        <v>88630</v>
      </c>
      <c r="AF9" s="117">
        <v>104636</v>
      </c>
      <c r="AG9" s="117">
        <v>91777</v>
      </c>
      <c r="AH9" s="117">
        <v>92400</v>
      </c>
      <c r="AI9" s="117">
        <v>79475</v>
      </c>
      <c r="AJ9" s="117">
        <v>82246</v>
      </c>
      <c r="AK9" s="117">
        <v>78492</v>
      </c>
      <c r="AL9" s="117">
        <v>74986</v>
      </c>
      <c r="AM9" s="117">
        <v>135470</v>
      </c>
      <c r="AN9" s="117">
        <v>341639</v>
      </c>
      <c r="AO9" s="117">
        <f>SUM(AE9:AH9)</f>
        <v>377443</v>
      </c>
      <c r="AP9" s="117">
        <f>SUM(AI9:AL9)</f>
        <v>315199</v>
      </c>
      <c r="AQ9" s="117">
        <f t="shared" si="22"/>
        <v>315199</v>
      </c>
      <c r="AR9" s="39">
        <v>34135</v>
      </c>
      <c r="AS9" s="39">
        <v>45368</v>
      </c>
      <c r="AT9" s="39">
        <v>37390</v>
      </c>
      <c r="AU9" s="39">
        <v>26461</v>
      </c>
      <c r="AV9" s="39">
        <v>36633</v>
      </c>
      <c r="AW9" s="39">
        <v>43801</v>
      </c>
      <c r="AX9" s="39">
        <v>36396</v>
      </c>
      <c r="AY9" s="39">
        <v>44476</v>
      </c>
      <c r="AZ9" s="39">
        <v>30076</v>
      </c>
      <c r="BA9" s="39">
        <v>40863</v>
      </c>
      <c r="BB9" s="39">
        <v>36641</v>
      </c>
      <c r="BC9" s="39">
        <v>33245</v>
      </c>
      <c r="BE9" s="39">
        <v>56287</v>
      </c>
      <c r="BF9" s="39">
        <v>143354</v>
      </c>
      <c r="BG9" s="39">
        <f>SUM(AV9:AY9)</f>
        <v>161306</v>
      </c>
      <c r="BH9" s="39">
        <f>SUM(AZ9:BC9)</f>
        <v>140825</v>
      </c>
      <c r="BJ9" s="39">
        <f t="shared" si="0"/>
        <v>140825</v>
      </c>
      <c r="BK9" s="39">
        <f>-13440+24083</f>
        <v>10643</v>
      </c>
      <c r="BL9" s="39">
        <f>2459+24083</f>
        <v>26542</v>
      </c>
      <c r="BM9" s="39">
        <f>-6543+24083</f>
        <v>17540</v>
      </c>
      <c r="BN9" s="39">
        <f>-25928+24083</f>
        <v>-1845</v>
      </c>
      <c r="BO9" s="39">
        <f>-8887+23601</f>
        <v>14714</v>
      </c>
      <c r="BP9" s="39">
        <f>6189+22638</f>
        <v>28827</v>
      </c>
      <c r="BQ9" s="39">
        <f>7978+22638</f>
        <v>30616</v>
      </c>
      <c r="BR9" s="39">
        <f>9278+22638</f>
        <v>31916</v>
      </c>
      <c r="BT9" s="39">
        <f>-8471+22638</f>
        <v>14167</v>
      </c>
      <c r="BU9" s="39">
        <f>1044+22638</f>
        <v>23682</v>
      </c>
      <c r="BV9" s="39">
        <f>-5138+22638</f>
        <v>17500</v>
      </c>
      <c r="BW9" s="39">
        <f>-3056+22638</f>
        <v>19582</v>
      </c>
      <c r="BX9" s="39">
        <f>-2793+42727</f>
        <v>39934</v>
      </c>
      <c r="BY9" s="39">
        <f>-43452+96331</f>
        <v>52879</v>
      </c>
      <c r="BZ9" s="39">
        <f>SUM(BO9:BR9)</f>
        <v>106073</v>
      </c>
      <c r="CA9" s="39">
        <f>SUM(BT9:BW9)</f>
        <v>74931</v>
      </c>
      <c r="CC9" s="39">
        <f t="shared" si="1"/>
        <v>74931</v>
      </c>
      <c r="CD9" s="39">
        <v>24082.739999999998</v>
      </c>
      <c r="CE9" s="39">
        <v>24082.739999999998</v>
      </c>
      <c r="CF9" s="39">
        <v>24082.739999999998</v>
      </c>
      <c r="CG9" s="39">
        <v>24082.739999999998</v>
      </c>
      <c r="CH9" s="39">
        <v>23601.09</v>
      </c>
      <c r="CI9" s="39">
        <v>22637.79</v>
      </c>
      <c r="CJ9" s="39">
        <v>22637.79</v>
      </c>
      <c r="CK9" s="39">
        <v>22637.79</v>
      </c>
      <c r="CL9" s="39">
        <v>22637.79</v>
      </c>
      <c r="CM9" s="39">
        <v>22637.79</v>
      </c>
      <c r="CN9" s="39">
        <v>22637.79</v>
      </c>
      <c r="CO9" s="39">
        <v>22638</v>
      </c>
      <c r="CQ9" s="39">
        <v>96330.96</v>
      </c>
      <c r="CR9" s="39">
        <f>SUM(CD9:CG9)</f>
        <v>96330.959999999992</v>
      </c>
      <c r="CS9" s="39">
        <f>SUM(CH9:CK9)</f>
        <v>91514.460000000021</v>
      </c>
      <c r="CT9" s="39">
        <f>SUM(CL9:CO9)</f>
        <v>90551.37</v>
      </c>
      <c r="CV9" s="39">
        <f t="shared" si="23"/>
        <v>90551.37</v>
      </c>
      <c r="CW9" s="43">
        <f t="shared" si="2"/>
        <v>0.3117914164347444</v>
      </c>
      <c r="CX9" s="43">
        <f t="shared" si="2"/>
        <v>0.58503791218479984</v>
      </c>
      <c r="CY9" s="43">
        <f t="shared" si="2"/>
        <v>0.46910938753677456</v>
      </c>
      <c r="CZ9" s="43">
        <f t="shared" si="2"/>
        <v>-6.9725256037186809E-2</v>
      </c>
      <c r="DA9" s="43">
        <f t="shared" si="2"/>
        <v>0.40165970572980647</v>
      </c>
      <c r="DB9" s="43">
        <f t="shared" si="2"/>
        <v>0.65813565900321913</v>
      </c>
      <c r="DC9" s="43">
        <f t="shared" si="2"/>
        <v>0.84119133970766014</v>
      </c>
      <c r="DD9" s="43">
        <f t="shared" si="2"/>
        <v>0.7176005036424139</v>
      </c>
      <c r="DE9" s="43">
        <f t="shared" si="3"/>
        <v>0.47104003191913818</v>
      </c>
      <c r="DF9" s="43">
        <f t="shared" si="3"/>
        <v>0.57954628881873582</v>
      </c>
      <c r="DG9" s="43">
        <f t="shared" si="3"/>
        <v>0.47760705220927374</v>
      </c>
      <c r="DH9" s="43">
        <f t="shared" si="3"/>
        <v>0.58902090539930818</v>
      </c>
      <c r="DI9" s="43"/>
      <c r="DJ9" s="43">
        <f t="shared" si="19"/>
        <v>0.70947110345195163</v>
      </c>
      <c r="DK9" s="43">
        <f t="shared" si="19"/>
        <v>0.36887006989689858</v>
      </c>
      <c r="DL9" s="43">
        <f t="shared" si="19"/>
        <v>0.65758868238007262</v>
      </c>
      <c r="DM9" s="43">
        <f>IFERROR(CA9/BH9,"")</f>
        <v>0.53208592224391971</v>
      </c>
      <c r="DN9" s="43"/>
      <c r="DO9" s="43">
        <f t="shared" si="4"/>
        <v>0.53208592224391971</v>
      </c>
      <c r="DP9" s="118">
        <f t="shared" ref="DP9:DW9" si="24">IF(BK9/CD9=0,"",BK9/CD9)</f>
        <v>0.44193476323707354</v>
      </c>
      <c r="DQ9" s="118">
        <f t="shared" si="24"/>
        <v>1.1021171179026972</v>
      </c>
      <c r="DR9" s="118">
        <f t="shared" si="24"/>
        <v>0.72832244171551919</v>
      </c>
      <c r="DS9" s="118">
        <f t="shared" si="24"/>
        <v>-7.6610883977487623E-2</v>
      </c>
      <c r="DT9" s="118">
        <f t="shared" si="24"/>
        <v>0.62344578152958186</v>
      </c>
      <c r="DU9" s="118">
        <f t="shared" si="24"/>
        <v>1.2734016880623065</v>
      </c>
      <c r="DV9" s="118">
        <f t="shared" si="24"/>
        <v>1.3524288369138506</v>
      </c>
      <c r="DW9" s="118">
        <f t="shared" si="24"/>
        <v>1.4098549372531506</v>
      </c>
      <c r="DX9" s="118">
        <f t="shared" si="6"/>
        <v>0.62581197192835514</v>
      </c>
      <c r="DY9" s="118">
        <f t="shared" si="6"/>
        <v>1.0461268524886926</v>
      </c>
      <c r="DZ9" s="118">
        <f t="shared" si="6"/>
        <v>0.77304365841365252</v>
      </c>
      <c r="EA9" s="118">
        <f t="shared" si="6"/>
        <v>0.86500574255676299</v>
      </c>
      <c r="EB9" s="118"/>
      <c r="EC9" s="118">
        <f>IF(BX9/CQ9=0,"",BX9/CQ9)</f>
        <v>0.41455000552262739</v>
      </c>
      <c r="ED9" s="118">
        <f>IF(BY9/CR9=0,"",BY9/CR9)</f>
        <v>0.54893047884086288</v>
      </c>
      <c r="EE9" s="118">
        <f>IF(BZ9/CS9=0,"",BZ9/CS9)</f>
        <v>1.1590845861954491</v>
      </c>
      <c r="EF9" s="118">
        <f>IF(CA9/CT9=0,"",CA9/CT9)</f>
        <v>0.8274971433342202</v>
      </c>
      <c r="EG9" s="118"/>
      <c r="EH9" s="118">
        <f t="shared" si="7"/>
        <v>0.8274971433342202</v>
      </c>
      <c r="EI9" s="43">
        <f t="shared" si="8"/>
        <v>0.70551457448366772</v>
      </c>
      <c r="EJ9" s="43">
        <f t="shared" si="8"/>
        <v>0.53083098219008984</v>
      </c>
      <c r="EK9" s="43">
        <f t="shared" si="8"/>
        <v>0.64409574752607646</v>
      </c>
      <c r="EL9" s="43">
        <f t="shared" si="8"/>
        <v>0.91012206643739835</v>
      </c>
      <c r="EM9" s="43">
        <f t="shared" si="8"/>
        <v>0.64425763655720247</v>
      </c>
      <c r="EN9" s="43">
        <f t="shared" si="8"/>
        <v>0.51683272071413899</v>
      </c>
      <c r="EO9" s="43">
        <f t="shared" si="8"/>
        <v>0.62198565776458958</v>
      </c>
      <c r="EP9" s="43">
        <f t="shared" si="8"/>
        <v>0.50898889288605087</v>
      </c>
      <c r="EQ9" s="43">
        <f t="shared" si="8"/>
        <v>0.75268619497273581</v>
      </c>
      <c r="ER9" s="43">
        <f t="shared" si="8"/>
        <v>0.55399236473093016</v>
      </c>
      <c r="ES9" s="43">
        <f t="shared" si="8"/>
        <v>0.61782675145329002</v>
      </c>
      <c r="ET9" s="43">
        <f t="shared" si="8"/>
        <v>0.68094450293277187</v>
      </c>
      <c r="EU9" s="43"/>
      <c r="EV9" s="43">
        <f t="shared" si="20"/>
        <v>1.7114246628884113</v>
      </c>
      <c r="EW9" s="43">
        <f t="shared" si="20"/>
        <v>0.67197957503801775</v>
      </c>
      <c r="EX9" s="43">
        <f t="shared" si="20"/>
        <v>0.56733450708591138</v>
      </c>
      <c r="EY9" s="43">
        <f>IFERROR(CT9/BH9,"")</f>
        <v>0.64300635540564532</v>
      </c>
      <c r="EZ9" s="43"/>
      <c r="FA9" s="43">
        <f t="shared" si="9"/>
        <v>0.64300635540564532</v>
      </c>
      <c r="FB9" s="120" t="str">
        <f t="shared" si="10"/>
        <v/>
      </c>
      <c r="FC9" s="52"/>
      <c r="FD9" s="122">
        <f t="shared" si="11"/>
        <v>315199</v>
      </c>
      <c r="FE9" s="66">
        <f>FD9/AO9-1</f>
        <v>-0.16490966847974398</v>
      </c>
      <c r="FF9" s="49">
        <f t="shared" si="12"/>
        <v>140825</v>
      </c>
      <c r="FG9" s="66">
        <f>FF9/BG9-1</f>
        <v>-0.12696985852975096</v>
      </c>
      <c r="FH9" s="49">
        <f t="shared" si="13"/>
        <v>74931</v>
      </c>
      <c r="FI9" s="66">
        <f>FH9/BZ9-1</f>
        <v>-0.29359026330923044</v>
      </c>
      <c r="FJ9" s="84">
        <f t="shared" si="14"/>
        <v>90551.37</v>
      </c>
      <c r="FK9" s="51">
        <f t="shared" si="15"/>
        <v>0.53208592224391971</v>
      </c>
      <c r="FL9" s="110">
        <f t="shared" si="16"/>
        <v>0.8274971433342202</v>
      </c>
      <c r="FM9" s="54">
        <f t="shared" si="17"/>
        <v>1.1590845861954491</v>
      </c>
      <c r="FN9" s="51">
        <f t="shared" si="18"/>
        <v>0.64300635540564532</v>
      </c>
      <c r="FO9" s="55" t="s">
        <v>40</v>
      </c>
      <c r="FP9" s="124" t="s">
        <v>66</v>
      </c>
      <c r="FR9" s="125" t="s">
        <v>247</v>
      </c>
      <c r="FS9" s="126" t="s">
        <v>248</v>
      </c>
      <c r="FT9" s="12" t="s">
        <v>249</v>
      </c>
      <c r="FV9" s="12" t="s">
        <v>250</v>
      </c>
      <c r="FW9" s="12" t="s">
        <v>251</v>
      </c>
      <c r="FX9" s="59" t="s">
        <v>252</v>
      </c>
    </row>
    <row r="10" spans="1:180" x14ac:dyDescent="0.25">
      <c r="A10" s="36" t="s">
        <v>253</v>
      </c>
      <c r="B10" s="37" t="s">
        <v>231</v>
      </c>
      <c r="C10" s="37" t="str">
        <f>INDEX('[1]Property Summary'!A:A,MATCH($A10,'[1]Property Summary'!$AC:$AC,FALSE))</f>
        <v>21100 S. Dixie Hwy</v>
      </c>
      <c r="D10" s="37" t="str">
        <f>INDEX('[1]Property Summary'!B:B,MATCH($A10,'[1]Property Summary'!$AC:$AC,FALSE))</f>
        <v>Miami</v>
      </c>
      <c r="E10" s="37" t="str">
        <f>INDEX('[1]Property Summary'!C:C,MATCH($A10,'[1]Property Summary'!$AC:$AC,FALSE))</f>
        <v>FL</v>
      </c>
      <c r="F10" s="37">
        <f>INDEX('[1]Property Summary'!D:D,MATCH($A10,'[1]Property Summary'!$AC:$AC,FALSE))</f>
        <v>33177</v>
      </c>
      <c r="G10" s="37" t="s">
        <v>243</v>
      </c>
      <c r="H10" s="37" t="str">
        <f>INDEX('[1]Property Summary'!F:F,MATCH($A10,'[1]Property Summary'!$AC:$AC,FALSE))</f>
        <v>Trinity Petro I LLC</v>
      </c>
      <c r="I10" s="83" t="str">
        <f>INDEX('[1]Property Summary'!H:H,MATCH($A10,'[1]Property Summary'!$AC:$AC,FALSE))</f>
        <v>Convenience Stores</v>
      </c>
      <c r="R10" s="39">
        <v>34389</v>
      </c>
      <c r="S10" s="39">
        <f>158721-R10</f>
        <v>124332</v>
      </c>
      <c r="T10" s="39">
        <f>231646-S10-R10</f>
        <v>72925</v>
      </c>
      <c r="U10" s="39">
        <f>333532-T10-S10-R10</f>
        <v>101886</v>
      </c>
      <c r="Z10" s="39">
        <f>SUM(R10:U10)</f>
        <v>333532</v>
      </c>
      <c r="AI10" s="117">
        <v>41953</v>
      </c>
      <c r="AJ10" s="117">
        <f>201453-AI10</f>
        <v>159500</v>
      </c>
      <c r="AK10" s="117">
        <f>362206-AJ10-AI10</f>
        <v>160753</v>
      </c>
      <c r="AL10" s="117">
        <f>460728-AK10-AJ10-AI10</f>
        <v>98522</v>
      </c>
      <c r="AQ10" s="117">
        <f t="shared" si="22"/>
        <v>460728</v>
      </c>
      <c r="AZ10" s="39">
        <v>155507</v>
      </c>
      <c r="BA10" s="39">
        <f>741869-AZ10</f>
        <v>586362</v>
      </c>
      <c r="BB10" s="39">
        <f>1339270-BA10-AZ10</f>
        <v>597401</v>
      </c>
      <c r="BC10" s="39">
        <f>1878794-BB10-BA10-AZ10</f>
        <v>539524</v>
      </c>
      <c r="BJ10" s="39">
        <f t="shared" si="0"/>
        <v>1878794</v>
      </c>
      <c r="BT10" s="39">
        <v>63171</v>
      </c>
      <c r="BU10" s="39">
        <f>174794-BT10</f>
        <v>111623</v>
      </c>
      <c r="BV10" s="39">
        <f>268189-BU10-BT10</f>
        <v>93395</v>
      </c>
      <c r="BW10" s="39">
        <f>314409-BV10-BU10-BT10</f>
        <v>46220</v>
      </c>
      <c r="CC10" s="39">
        <f t="shared" si="1"/>
        <v>314409</v>
      </c>
      <c r="CL10" s="39">
        <f>(165000+165000)/6</f>
        <v>55000</v>
      </c>
      <c r="CM10" s="39">
        <f>(165000+165000+165000)/6</f>
        <v>82500</v>
      </c>
      <c r="CN10" s="39">
        <f>(165000+185000+185000)/6</f>
        <v>89166.666666666672</v>
      </c>
      <c r="CO10" s="39">
        <f>319165-CN10-CM10-CL10</f>
        <v>92498.333333333314</v>
      </c>
      <c r="CV10" s="39">
        <f t="shared" si="23"/>
        <v>319165</v>
      </c>
      <c r="CW10" s="43" t="str">
        <f t="shared" si="2"/>
        <v/>
      </c>
      <c r="CX10" s="43" t="str">
        <f t="shared" si="2"/>
        <v/>
      </c>
      <c r="CY10" s="43" t="str">
        <f t="shared" si="2"/>
        <v/>
      </c>
      <c r="CZ10" s="43" t="str">
        <f t="shared" si="2"/>
        <v/>
      </c>
      <c r="DA10" s="43" t="str">
        <f t="shared" si="2"/>
        <v/>
      </c>
      <c r="DB10" s="43" t="str">
        <f t="shared" si="2"/>
        <v/>
      </c>
      <c r="DC10" s="43" t="str">
        <f t="shared" si="2"/>
        <v/>
      </c>
      <c r="DD10" s="43" t="str">
        <f t="shared" si="2"/>
        <v/>
      </c>
      <c r="DE10" s="43">
        <f t="shared" si="3"/>
        <v>0.40622608628550483</v>
      </c>
      <c r="DF10" s="43">
        <f t="shared" si="3"/>
        <v>0.19036533745365491</v>
      </c>
      <c r="DG10" s="119">
        <f t="shared" si="3"/>
        <v>0.15633552672325624</v>
      </c>
      <c r="DH10" s="119">
        <f t="shared" si="3"/>
        <v>8.5668107442857036E-2</v>
      </c>
      <c r="DI10" s="119"/>
      <c r="DJ10" s="43" t="str">
        <f t="shared" si="19"/>
        <v/>
      </c>
      <c r="DK10" s="43" t="str">
        <f t="shared" si="19"/>
        <v/>
      </c>
      <c r="DL10" s="43" t="str">
        <f t="shared" si="19"/>
        <v/>
      </c>
      <c r="DM10" s="43"/>
      <c r="DN10" s="43"/>
      <c r="DO10" s="43">
        <f t="shared" si="4"/>
        <v>0.16734618058179876</v>
      </c>
      <c r="DP10" s="118"/>
      <c r="DQ10" s="118"/>
      <c r="DR10" s="118"/>
      <c r="DS10" s="118"/>
      <c r="DT10" s="118"/>
      <c r="DU10" s="118"/>
      <c r="DV10" s="118"/>
      <c r="DW10" s="118"/>
      <c r="DX10" s="118">
        <f t="shared" si="6"/>
        <v>1.1485636363636365</v>
      </c>
      <c r="DY10" s="118">
        <f t="shared" si="6"/>
        <v>1.3530060606060605</v>
      </c>
      <c r="DZ10" s="118">
        <f t="shared" si="6"/>
        <v>1.0474205607476634</v>
      </c>
      <c r="EA10" s="118">
        <f t="shared" si="6"/>
        <v>0.49968467900322538</v>
      </c>
      <c r="EB10" s="118"/>
      <c r="EC10" s="118"/>
      <c r="ED10" s="118"/>
      <c r="EE10" s="118"/>
      <c r="EF10" s="118"/>
      <c r="EG10" s="118"/>
      <c r="EH10" s="118">
        <f t="shared" si="7"/>
        <v>0.98509861670295928</v>
      </c>
      <c r="EI10" s="43" t="str">
        <f t="shared" si="8"/>
        <v/>
      </c>
      <c r="EJ10" s="43" t="str">
        <f t="shared" si="8"/>
        <v/>
      </c>
      <c r="EK10" s="43" t="str">
        <f t="shared" si="8"/>
        <v/>
      </c>
      <c r="EL10" s="43" t="str">
        <f t="shared" si="8"/>
        <v/>
      </c>
      <c r="EM10" s="43" t="str">
        <f t="shared" si="8"/>
        <v/>
      </c>
      <c r="EN10" s="43" t="str">
        <f t="shared" si="8"/>
        <v/>
      </c>
      <c r="EO10" s="43" t="str">
        <f t="shared" si="8"/>
        <v/>
      </c>
      <c r="EP10" s="43" t="str">
        <f t="shared" si="8"/>
        <v/>
      </c>
      <c r="EQ10" s="43">
        <f t="shared" si="8"/>
        <v>0.3536818278276862</v>
      </c>
      <c r="ER10" s="43">
        <f t="shared" si="8"/>
        <v>0.14069806706437321</v>
      </c>
      <c r="ES10" s="119">
        <f t="shared" si="8"/>
        <v>0.14925764547877668</v>
      </c>
      <c r="ET10" s="119">
        <f t="shared" si="8"/>
        <v>0.17144433488284733</v>
      </c>
      <c r="EU10" s="119"/>
      <c r="EV10" s="43" t="str">
        <f t="shared" si="20"/>
        <v/>
      </c>
      <c r="EW10" s="43" t="str">
        <f t="shared" si="20"/>
        <v/>
      </c>
      <c r="EX10" s="43" t="str">
        <f t="shared" si="20"/>
        <v/>
      </c>
      <c r="EY10" s="43"/>
      <c r="EZ10" s="43"/>
      <c r="FA10" s="43">
        <f t="shared" si="9"/>
        <v>0.16987759168913674</v>
      </c>
      <c r="FB10" s="120">
        <f t="shared" si="10"/>
        <v>333532</v>
      </c>
      <c r="FC10" s="121"/>
      <c r="FD10" s="122">
        <f t="shared" si="11"/>
        <v>460728</v>
      </c>
      <c r="FE10" s="123"/>
      <c r="FF10" s="49">
        <f t="shared" si="12"/>
        <v>1878794</v>
      </c>
      <c r="FG10" s="50"/>
      <c r="FH10" s="49">
        <f t="shared" si="13"/>
        <v>314409</v>
      </c>
      <c r="FI10" s="38"/>
      <c r="FJ10" s="84">
        <f t="shared" si="14"/>
        <v>319165</v>
      </c>
      <c r="FK10" s="51">
        <f t="shared" si="15"/>
        <v>0.16734618058179876</v>
      </c>
      <c r="FL10" s="110">
        <f t="shared" si="16"/>
        <v>0.98509861670295928</v>
      </c>
      <c r="FM10" s="54">
        <f t="shared" si="17"/>
        <v>0</v>
      </c>
      <c r="FN10" s="51">
        <f t="shared" si="18"/>
        <v>0.16987759168913674</v>
      </c>
      <c r="FO10" s="55" t="s">
        <v>40</v>
      </c>
      <c r="FP10" s="124" t="s">
        <v>66</v>
      </c>
      <c r="FR10" s="125" t="s">
        <v>233</v>
      </c>
      <c r="FS10" s="126"/>
      <c r="FX10" s="59"/>
    </row>
    <row r="11" spans="1:180" x14ac:dyDescent="0.25">
      <c r="A11" s="36" t="s">
        <v>254</v>
      </c>
      <c r="B11" s="37" t="s">
        <v>231</v>
      </c>
      <c r="C11" s="37" t="str">
        <f>INDEX('[1]Property Summary'!A:A,MATCH($A11,'[1]Property Summary'!$AC:$AC,FALSE))</f>
        <v>3701 NW 167 Street</v>
      </c>
      <c r="D11" s="37" t="str">
        <f>INDEX('[1]Property Summary'!B:B,MATCH($A11,'[1]Property Summary'!$AC:$AC,FALSE))</f>
        <v>Miami Gardens</v>
      </c>
      <c r="E11" s="37" t="str">
        <f>INDEX('[1]Property Summary'!C:C,MATCH($A11,'[1]Property Summary'!$AC:$AC,FALSE))</f>
        <v>FL</v>
      </c>
      <c r="F11" s="37">
        <f>INDEX('[1]Property Summary'!D:D,MATCH($A11,'[1]Property Summary'!$AC:$AC,FALSE))</f>
        <v>33055</v>
      </c>
      <c r="G11" s="37" t="s">
        <v>243</v>
      </c>
      <c r="H11" s="37" t="str">
        <f>INDEX('[1]Property Summary'!F:F,MATCH($A11,'[1]Property Summary'!$AC:$AC,FALSE))</f>
        <v>Trinity Petro I LLC</v>
      </c>
      <c r="I11" s="83" t="str">
        <f>INDEX('[1]Property Summary'!H:H,MATCH($A11,'[1]Property Summary'!$AC:$AC,FALSE))</f>
        <v>Convenience Stores</v>
      </c>
      <c r="R11" s="39">
        <v>26331</v>
      </c>
      <c r="S11" s="39">
        <f>194252-R11</f>
        <v>167921</v>
      </c>
      <c r="T11" s="39">
        <f>369180-S11-R11</f>
        <v>174928</v>
      </c>
      <c r="U11" s="39">
        <f>552533-T11-S11-R11</f>
        <v>183353</v>
      </c>
      <c r="Z11" s="39">
        <f>SUM(R11:U11)</f>
        <v>552533</v>
      </c>
      <c r="AI11" s="117">
        <v>33787</v>
      </c>
      <c r="AJ11" s="117">
        <f>199332-AI11</f>
        <v>165545</v>
      </c>
      <c r="AK11" s="117">
        <f>381856-AJ11-AI11</f>
        <v>182524</v>
      </c>
      <c r="AL11" s="117">
        <f>551746-AK11-AJ11-AI11</f>
        <v>169890</v>
      </c>
      <c r="AQ11" s="117">
        <f t="shared" si="22"/>
        <v>551746</v>
      </c>
      <c r="AZ11" s="39">
        <v>130629</v>
      </c>
      <c r="BA11" s="39">
        <f>803709-AZ11</f>
        <v>673080</v>
      </c>
      <c r="BB11" s="39">
        <f>1532886-BA11-AZ11</f>
        <v>729177</v>
      </c>
      <c r="BC11" s="39">
        <f>2407142-BB11-BA11-AZ11</f>
        <v>874256</v>
      </c>
      <c r="BJ11" s="39">
        <f t="shared" si="0"/>
        <v>2407142</v>
      </c>
      <c r="BT11" s="39">
        <v>42197</v>
      </c>
      <c r="BU11" s="39">
        <f>126999-BT11</f>
        <v>84802</v>
      </c>
      <c r="BV11" s="39">
        <f>290788-BU11-BT11</f>
        <v>163789</v>
      </c>
      <c r="BW11" s="39">
        <f>363127-BV11-BU11-BT11</f>
        <v>72339</v>
      </c>
      <c r="CC11" s="39">
        <f t="shared" si="1"/>
        <v>363127</v>
      </c>
      <c r="CL11" s="39">
        <f>(165000+165000)/6</f>
        <v>55000</v>
      </c>
      <c r="CM11" s="39">
        <f>(165000+165000+165000)/6</f>
        <v>82500</v>
      </c>
      <c r="CN11" s="39">
        <f>(165000+185000+185000)/6</f>
        <v>89166.666666666672</v>
      </c>
      <c r="CO11" s="39">
        <f>319165-CN11-CM11-CL11</f>
        <v>92498.333333333314</v>
      </c>
      <c r="CV11" s="39">
        <f t="shared" si="23"/>
        <v>319165</v>
      </c>
      <c r="CW11" s="43" t="str">
        <f t="shared" si="2"/>
        <v/>
      </c>
      <c r="CX11" s="43" t="str">
        <f t="shared" si="2"/>
        <v/>
      </c>
      <c r="CY11" s="43" t="str">
        <f t="shared" si="2"/>
        <v/>
      </c>
      <c r="CZ11" s="43" t="str">
        <f t="shared" si="2"/>
        <v/>
      </c>
      <c r="DA11" s="43" t="str">
        <f t="shared" si="2"/>
        <v/>
      </c>
      <c r="DB11" s="43" t="str">
        <f t="shared" si="2"/>
        <v/>
      </c>
      <c r="DC11" s="43" t="str">
        <f t="shared" si="2"/>
        <v/>
      </c>
      <c r="DD11" s="43" t="str">
        <f t="shared" si="2"/>
        <v/>
      </c>
      <c r="DE11" s="43">
        <f t="shared" si="3"/>
        <v>0.32302934264213917</v>
      </c>
      <c r="DF11" s="43">
        <f t="shared" si="3"/>
        <v>0.12599096689843703</v>
      </c>
      <c r="DG11" s="119">
        <f t="shared" si="3"/>
        <v>0.22462173107489677</v>
      </c>
      <c r="DH11" s="119">
        <f t="shared" si="3"/>
        <v>8.2743498471843493E-2</v>
      </c>
      <c r="DI11" s="119"/>
      <c r="DJ11" s="43" t="str">
        <f t="shared" si="19"/>
        <v/>
      </c>
      <c r="DK11" s="43" t="str">
        <f t="shared" si="19"/>
        <v/>
      </c>
      <c r="DL11" s="43" t="str">
        <f t="shared" si="19"/>
        <v/>
      </c>
      <c r="DM11" s="43"/>
      <c r="DN11" s="43"/>
      <c r="DO11" s="43">
        <f t="shared" si="4"/>
        <v>0.15085400030409507</v>
      </c>
      <c r="DP11" s="118"/>
      <c r="DQ11" s="118"/>
      <c r="DR11" s="118"/>
      <c r="DS11" s="118"/>
      <c r="DT11" s="118"/>
      <c r="DU11" s="118"/>
      <c r="DV11" s="118"/>
      <c r="DW11" s="118"/>
      <c r="DX11" s="118">
        <f t="shared" si="6"/>
        <v>0.7672181818181818</v>
      </c>
      <c r="DY11" s="118">
        <f t="shared" si="6"/>
        <v>1.0279030303030303</v>
      </c>
      <c r="DZ11" s="118">
        <f t="shared" si="6"/>
        <v>1.8368859813084111</v>
      </c>
      <c r="EA11" s="118">
        <f t="shared" si="6"/>
        <v>0.78205733436638514</v>
      </c>
      <c r="EB11" s="118"/>
      <c r="EC11" s="118"/>
      <c r="ED11" s="118"/>
      <c r="EE11" s="118"/>
      <c r="EF11" s="118"/>
      <c r="EG11" s="118"/>
      <c r="EH11" s="118">
        <f t="shared" si="7"/>
        <v>1.1377406670530916</v>
      </c>
      <c r="EI11" s="43" t="str">
        <f t="shared" si="8"/>
        <v/>
      </c>
      <c r="EJ11" s="43" t="str">
        <f t="shared" si="8"/>
        <v/>
      </c>
      <c r="EK11" s="43" t="str">
        <f t="shared" si="8"/>
        <v/>
      </c>
      <c r="EL11" s="43" t="str">
        <f t="shared" si="8"/>
        <v/>
      </c>
      <c r="EM11" s="43" t="str">
        <f t="shared" si="8"/>
        <v/>
      </c>
      <c r="EN11" s="43" t="str">
        <f t="shared" si="8"/>
        <v/>
      </c>
      <c r="EO11" s="43" t="str">
        <f t="shared" si="8"/>
        <v/>
      </c>
      <c r="EP11" s="43" t="str">
        <f t="shared" si="8"/>
        <v/>
      </c>
      <c r="EQ11" s="43">
        <f t="shared" si="8"/>
        <v>0.42103973849604603</v>
      </c>
      <c r="ER11" s="43">
        <f t="shared" si="8"/>
        <v>0.12257086824745944</v>
      </c>
      <c r="ES11" s="119">
        <f t="shared" si="8"/>
        <v>0.1222839813470072</v>
      </c>
      <c r="ET11" s="119">
        <f t="shared" si="8"/>
        <v>0.10580234317331916</v>
      </c>
      <c r="EU11" s="119"/>
      <c r="EV11" s="43" t="str">
        <f t="shared" si="20"/>
        <v/>
      </c>
      <c r="EW11" s="43" t="str">
        <f t="shared" si="20"/>
        <v/>
      </c>
      <c r="EX11" s="43" t="str">
        <f t="shared" si="20"/>
        <v/>
      </c>
      <c r="EY11" s="43"/>
      <c r="EZ11" s="43"/>
      <c r="FA11" s="43">
        <f t="shared" si="9"/>
        <v>0.13259084840030211</v>
      </c>
      <c r="FB11" s="120">
        <f t="shared" si="10"/>
        <v>552533</v>
      </c>
      <c r="FC11" s="121"/>
      <c r="FD11" s="122">
        <f t="shared" si="11"/>
        <v>551746</v>
      </c>
      <c r="FE11" s="123"/>
      <c r="FF11" s="49">
        <f t="shared" si="12"/>
        <v>2407142</v>
      </c>
      <c r="FG11" s="50"/>
      <c r="FH11" s="49">
        <f t="shared" si="13"/>
        <v>363127</v>
      </c>
      <c r="FI11" s="38"/>
      <c r="FJ11" s="84">
        <f t="shared" si="14"/>
        <v>319165</v>
      </c>
      <c r="FK11" s="51">
        <f t="shared" si="15"/>
        <v>0.15085400030409507</v>
      </c>
      <c r="FL11" s="110">
        <f t="shared" si="16"/>
        <v>1.1377406670530916</v>
      </c>
      <c r="FM11" s="54">
        <f t="shared" si="17"/>
        <v>0</v>
      </c>
      <c r="FN11" s="51">
        <f t="shared" si="18"/>
        <v>0.13259084840030211</v>
      </c>
      <c r="FO11" s="55" t="s">
        <v>40</v>
      </c>
      <c r="FP11" s="124" t="s">
        <v>66</v>
      </c>
      <c r="FR11" s="125" t="s">
        <v>233</v>
      </c>
      <c r="FS11" s="126"/>
      <c r="FX11" s="59"/>
    </row>
    <row r="12" spans="1:180" x14ac:dyDescent="0.25">
      <c r="A12" s="36" t="s">
        <v>255</v>
      </c>
      <c r="B12" s="37" t="s">
        <v>256</v>
      </c>
      <c r="C12" s="37" t="str">
        <f>INDEX('[1]Property Summary'!A:A,MATCH($A12,'[1]Property Summary'!$AC:$AC,FALSE))</f>
        <v>776 NE Alsbury</v>
      </c>
      <c r="D12" s="37" t="str">
        <f>INDEX('[1]Property Summary'!B:B,MATCH($A12,'[1]Property Summary'!$AC:$AC,FALSE))</f>
        <v>Burleson</v>
      </c>
      <c r="E12" s="37" t="str">
        <f>INDEX('[1]Property Summary'!C:C,MATCH($A12,'[1]Property Summary'!$AC:$AC,FALSE))</f>
        <v>TX</v>
      </c>
      <c r="F12" s="37">
        <f>INDEX('[1]Property Summary'!D:D,MATCH($A12,'[1]Property Summary'!$AC:$AC,FALSE))</f>
        <v>76028</v>
      </c>
      <c r="G12" s="37" t="str">
        <f>INDEX('[1]Property Summary'!E:E,MATCH($A12,'[1]Property Summary'!$AC:$AC,FALSE))</f>
        <v>Chevron</v>
      </c>
      <c r="H12" s="37" t="str">
        <f>INDEX('[1]Property Summary'!F:F,MATCH($A12,'[1]Property Summary'!$AC:$AC,FALSE))</f>
        <v>Pinnacle Oil &amp; Gas Holdings, Inc.</v>
      </c>
      <c r="I12" s="83" t="str">
        <f>INDEX('[1]Property Summary'!H:H,MATCH($A12,'[1]Property Summary'!$AC:$AC,FALSE))</f>
        <v>Convenience Stores</v>
      </c>
      <c r="M12" s="39">
        <f>W12-1648962</f>
        <v>570600</v>
      </c>
      <c r="N12" s="39">
        <v>601910</v>
      </c>
      <c r="O12" s="39">
        <f>1150259-N12</f>
        <v>548349</v>
      </c>
      <c r="P12" s="39">
        <v>268648</v>
      </c>
      <c r="Q12" s="39">
        <v>263175</v>
      </c>
      <c r="R12" s="39">
        <v>129552</v>
      </c>
      <c r="S12" s="39">
        <v>133978</v>
      </c>
      <c r="T12" s="39">
        <v>105487</v>
      </c>
      <c r="U12" s="39">
        <v>85157</v>
      </c>
      <c r="V12" s="39">
        <v>2195299</v>
      </c>
      <c r="W12" s="39">
        <v>2219562</v>
      </c>
      <c r="X12" s="39">
        <f>SUM(N12:Q12)</f>
        <v>1682082</v>
      </c>
      <c r="Y12" s="39">
        <f>SUM(R12:U12)</f>
        <v>454174</v>
      </c>
      <c r="Z12" s="39">
        <f>SUM(R12:U12)</f>
        <v>454174</v>
      </c>
      <c r="AD12" s="117">
        <f>AN12-518607</f>
        <v>155493</v>
      </c>
      <c r="AG12" s="117">
        <v>123216</v>
      </c>
      <c r="AH12" s="117">
        <v>116874</v>
      </c>
      <c r="AI12" s="117">
        <v>62204</v>
      </c>
      <c r="AJ12" s="117">
        <v>73322</v>
      </c>
      <c r="AK12" s="117">
        <v>63514</v>
      </c>
      <c r="AL12" s="117">
        <v>64402</v>
      </c>
      <c r="AM12" s="117">
        <v>588601</v>
      </c>
      <c r="AN12" s="117">
        <v>674100</v>
      </c>
      <c r="AP12" s="117">
        <f>SUM(AI12:AL12)</f>
        <v>263442</v>
      </c>
      <c r="AQ12" s="117">
        <f t="shared" si="22"/>
        <v>263442</v>
      </c>
      <c r="AR12" s="129"/>
      <c r="AU12" s="39">
        <f>4338105-3364586</f>
        <v>973519</v>
      </c>
      <c r="AV12" s="39">
        <v>1171431</v>
      </c>
      <c r="AW12" s="39">
        <f>2284385-AV12</f>
        <v>1112954</v>
      </c>
      <c r="AX12" s="39">
        <v>919074.56</v>
      </c>
      <c r="AY12" s="39">
        <v>878704</v>
      </c>
      <c r="AZ12" s="39">
        <v>583581</v>
      </c>
      <c r="BA12" s="39">
        <v>599320</v>
      </c>
      <c r="BB12" s="39">
        <v>539407</v>
      </c>
      <c r="BC12" s="39">
        <v>502881</v>
      </c>
      <c r="BE12" s="39">
        <v>4364234</v>
      </c>
      <c r="BF12" s="39">
        <v>4338671</v>
      </c>
      <c r="BG12" s="39">
        <f>SUM(AV12:AY12)</f>
        <v>4082163.56</v>
      </c>
      <c r="BH12" s="39">
        <f>SUM(AZ12:BC12)</f>
        <v>2225189</v>
      </c>
      <c r="BJ12" s="39">
        <f t="shared" si="0"/>
        <v>2225189</v>
      </c>
      <c r="BN12" s="39">
        <f>1616564-1238709</f>
        <v>377855</v>
      </c>
      <c r="BO12" s="39">
        <v>382900</v>
      </c>
      <c r="BP12" s="39">
        <f>788062-BO12</f>
        <v>405162</v>
      </c>
      <c r="BQ12" s="39">
        <v>403885.98</v>
      </c>
      <c r="BR12" s="39">
        <v>386522</v>
      </c>
      <c r="BT12" s="39">
        <v>244708</v>
      </c>
      <c r="BU12" s="39">
        <v>244802</v>
      </c>
      <c r="BV12" s="39">
        <v>223027</v>
      </c>
      <c r="BW12" s="39">
        <v>174175</v>
      </c>
      <c r="BX12" s="39">
        <v>1661001</v>
      </c>
      <c r="BY12" s="39">
        <v>1616564</v>
      </c>
      <c r="BZ12" s="39">
        <f>SUM(BO12:BR12)</f>
        <v>1578469.98</v>
      </c>
      <c r="CA12" s="39">
        <f>SUM(BT12:BW12)</f>
        <v>886712</v>
      </c>
      <c r="CC12" s="39">
        <f t="shared" si="1"/>
        <v>886712</v>
      </c>
      <c r="CD12" s="39">
        <v>161750.01</v>
      </c>
      <c r="CE12" s="39">
        <v>161750.01</v>
      </c>
      <c r="CF12" s="39">
        <v>161750.01</v>
      </c>
      <c r="CG12" s="39">
        <v>161750.01</v>
      </c>
      <c r="CH12" s="39">
        <v>161750.01</v>
      </c>
      <c r="CI12" s="39">
        <v>161750.01</v>
      </c>
      <c r="CJ12" s="39">
        <v>161750.01</v>
      </c>
      <c r="CK12" s="39">
        <v>161750.01</v>
      </c>
      <c r="CL12" s="39">
        <v>161750.01</v>
      </c>
      <c r="CM12" s="39">
        <v>161750.01</v>
      </c>
      <c r="CN12" s="39">
        <v>166603</v>
      </c>
      <c r="CO12" s="39">
        <v>166602</v>
      </c>
      <c r="CQ12" s="39">
        <v>647000.04</v>
      </c>
      <c r="CR12" s="39">
        <f>SUM(CD12:CG12)</f>
        <v>647000.04</v>
      </c>
      <c r="CS12" s="39">
        <f>SUM(CH12:CK12)</f>
        <v>647000.04</v>
      </c>
      <c r="CT12" s="39">
        <f>SUM(CL12:CO12)</f>
        <v>656705.02</v>
      </c>
      <c r="CV12" s="39">
        <f t="shared" si="23"/>
        <v>656705.02</v>
      </c>
      <c r="CW12" s="119" t="str">
        <f t="shared" si="2"/>
        <v/>
      </c>
      <c r="CX12" s="119" t="str">
        <f t="shared" si="2"/>
        <v/>
      </c>
      <c r="CY12" s="119" t="str">
        <f t="shared" si="2"/>
        <v/>
      </c>
      <c r="CZ12" s="119">
        <f t="shared" si="2"/>
        <v>0.38813315405246329</v>
      </c>
      <c r="DA12" s="119">
        <f t="shared" si="2"/>
        <v>0.32686517601122045</v>
      </c>
      <c r="DB12" s="119">
        <f t="shared" si="2"/>
        <v>0.36404199993890135</v>
      </c>
      <c r="DC12" s="119">
        <f t="shared" si="2"/>
        <v>0.43944854702539038</v>
      </c>
      <c r="DD12" s="119">
        <f t="shared" si="2"/>
        <v>0.43987736484641016</v>
      </c>
      <c r="DE12" s="119">
        <f t="shared" si="3"/>
        <v>0.41932139668700658</v>
      </c>
      <c r="DF12" s="119">
        <f t="shared" si="3"/>
        <v>0.40846626176333178</v>
      </c>
      <c r="DG12" s="119">
        <f t="shared" si="3"/>
        <v>0.41346701099540795</v>
      </c>
      <c r="DH12" s="119">
        <f t="shared" si="3"/>
        <v>0.3463543064860275</v>
      </c>
      <c r="DI12" s="119"/>
      <c r="DJ12" s="119">
        <f t="shared" si="19"/>
        <v>0.38059393698871324</v>
      </c>
      <c r="DK12" s="119">
        <f t="shared" si="19"/>
        <v>0.37259428059882854</v>
      </c>
      <c r="DL12" s="119">
        <f t="shared" si="19"/>
        <v>0.38667484945164715</v>
      </c>
      <c r="DM12" s="119">
        <f>IFERROR(CA12/BH12,"")</f>
        <v>0.39848839806416442</v>
      </c>
      <c r="DN12" s="119"/>
      <c r="DO12" s="119">
        <f t="shared" si="4"/>
        <v>0.39848839806416442</v>
      </c>
      <c r="DP12" s="118" t="str">
        <f t="shared" ref="DP12:DW13" si="25">IF(BK12/CD12=0,"",BK12/CD12)</f>
        <v/>
      </c>
      <c r="DQ12" s="118" t="str">
        <f t="shared" si="25"/>
        <v/>
      </c>
      <c r="DR12" s="118" t="str">
        <f t="shared" si="25"/>
        <v/>
      </c>
      <c r="DS12" s="118">
        <f t="shared" si="25"/>
        <v>2.3360431322384461</v>
      </c>
      <c r="DT12" s="118">
        <f t="shared" si="25"/>
        <v>2.3672332385018091</v>
      </c>
      <c r="DU12" s="118">
        <f t="shared" si="25"/>
        <v>2.5048653783699919</v>
      </c>
      <c r="DV12" s="118">
        <f t="shared" si="25"/>
        <v>2.4969765380540005</v>
      </c>
      <c r="DW12" s="118">
        <f t="shared" si="25"/>
        <v>2.3896258182611549</v>
      </c>
      <c r="DX12" s="118">
        <f t="shared" si="6"/>
        <v>1.5128778044588682</v>
      </c>
      <c r="DY12" s="118">
        <f t="shared" si="6"/>
        <v>1.5134589481632799</v>
      </c>
      <c r="DZ12" s="118">
        <f t="shared" si="6"/>
        <v>1.3386733732285734</v>
      </c>
      <c r="EA12" s="118">
        <f t="shared" si="6"/>
        <v>1.0454556367870733</v>
      </c>
      <c r="EB12" s="118"/>
      <c r="EC12" s="118">
        <f t="shared" ref="EC12:EF13" si="26">IF(BX12/CQ12=0,"",BX12/CQ12)</f>
        <v>2.5672347717320076</v>
      </c>
      <c r="ED12" s="118">
        <f t="shared" si="26"/>
        <v>2.4985531685593094</v>
      </c>
      <c r="EE12" s="118">
        <f t="shared" si="26"/>
        <v>2.439675243296739</v>
      </c>
      <c r="EF12" s="118">
        <f t="shared" si="26"/>
        <v>1.3502439801663157</v>
      </c>
      <c r="EG12" s="118"/>
      <c r="EH12" s="118">
        <f t="shared" si="7"/>
        <v>1.3502439801663157</v>
      </c>
      <c r="EI12" s="119" t="str">
        <f t="shared" si="8"/>
        <v/>
      </c>
      <c r="EJ12" s="119" t="str">
        <f t="shared" si="8"/>
        <v/>
      </c>
      <c r="EK12" s="119" t="str">
        <f t="shared" si="8"/>
        <v/>
      </c>
      <c r="EL12" s="119">
        <f t="shared" si="8"/>
        <v>0.16614982347545348</v>
      </c>
      <c r="EM12" s="119">
        <f t="shared" si="8"/>
        <v>0.1380789905679464</v>
      </c>
      <c r="EN12" s="119">
        <f t="shared" si="8"/>
        <v>0.14533395809710015</v>
      </c>
      <c r="EO12" s="119">
        <f t="shared" si="8"/>
        <v>0.17599226117193364</v>
      </c>
      <c r="EP12" s="119">
        <f t="shared" si="8"/>
        <v>0.18407792612756971</v>
      </c>
      <c r="EQ12" s="119">
        <f t="shared" si="8"/>
        <v>0.27716805379201859</v>
      </c>
      <c r="ER12" s="119">
        <f t="shared" si="8"/>
        <v>0.26988922445438163</v>
      </c>
      <c r="ES12" s="119">
        <f t="shared" si="8"/>
        <v>0.30886325168193962</v>
      </c>
      <c r="ET12" s="119">
        <f t="shared" si="8"/>
        <v>0.33129507776193573</v>
      </c>
      <c r="EU12" s="119"/>
      <c r="EV12" s="119">
        <f t="shared" si="20"/>
        <v>0.14825053835335136</v>
      </c>
      <c r="EW12" s="119">
        <f t="shared" si="20"/>
        <v>0.14912401516501253</v>
      </c>
      <c r="EX12" s="119">
        <f t="shared" si="20"/>
        <v>0.15849439408547364</v>
      </c>
      <c r="EY12" s="119"/>
      <c r="EZ12" s="119"/>
      <c r="FA12" s="119">
        <f t="shared" si="9"/>
        <v>0.29512325469881434</v>
      </c>
      <c r="FB12" s="130">
        <f t="shared" si="10"/>
        <v>454174</v>
      </c>
      <c r="FC12" s="131">
        <f>FB12/X12-1</f>
        <v>-0.72999294921412861</v>
      </c>
      <c r="FD12" s="132">
        <f t="shared" si="11"/>
        <v>263442</v>
      </c>
      <c r="FE12" s="133">
        <f>FD12/AN12-1</f>
        <v>-0.60919448153093014</v>
      </c>
      <c r="FF12" s="49">
        <f t="shared" si="12"/>
        <v>2225189</v>
      </c>
      <c r="FG12" s="50">
        <f>FF12/BG12-1</f>
        <v>-0.45489959740858599</v>
      </c>
      <c r="FH12" s="49">
        <f t="shared" si="13"/>
        <v>886712</v>
      </c>
      <c r="FI12" s="50">
        <f>FH12/BZ12-1</f>
        <v>-0.43824588922495689</v>
      </c>
      <c r="FJ12" s="84">
        <f t="shared" si="14"/>
        <v>656705.02</v>
      </c>
      <c r="FK12" s="134">
        <f t="shared" si="15"/>
        <v>0.39848839806416442</v>
      </c>
      <c r="FL12" s="110">
        <f t="shared" si="16"/>
        <v>1.3502439801663157</v>
      </c>
      <c r="FM12" s="135">
        <f t="shared" si="17"/>
        <v>2.439675243296739</v>
      </c>
      <c r="FN12" s="134">
        <f t="shared" si="18"/>
        <v>0.29512325469881434</v>
      </c>
      <c r="FO12" s="55" t="s">
        <v>40</v>
      </c>
      <c r="FP12" s="136" t="s">
        <v>66</v>
      </c>
      <c r="FQ12" s="137"/>
      <c r="FR12" s="137" t="s">
        <v>247</v>
      </c>
      <c r="FS12" s="138"/>
      <c r="FT12" s="12" t="s">
        <v>257</v>
      </c>
      <c r="FU12" s="12" t="s">
        <v>258</v>
      </c>
      <c r="FX12" s="59" t="s">
        <v>259</v>
      </c>
    </row>
    <row r="13" spans="1:180" x14ac:dyDescent="0.25">
      <c r="A13" s="36" t="s">
        <v>260</v>
      </c>
      <c r="B13" s="37" t="s">
        <v>261</v>
      </c>
      <c r="C13" s="37" t="str">
        <f>INDEX('[1]Property Summary'!A:A,MATCH($A13,'[1]Property Summary'!$AC:$AC,FALSE))</f>
        <v>1120 WI-67 (Suite A)</v>
      </c>
      <c r="D13" s="37" t="str">
        <f>INDEX('[1]Property Summary'!B:B,MATCH($A13,'[1]Property Summary'!$AC:$AC,FALSE))</f>
        <v>Kiel</v>
      </c>
      <c r="E13" s="37" t="str">
        <f>INDEX('[1]Property Summary'!C:C,MATCH($A13,'[1]Property Summary'!$AC:$AC,FALSE))</f>
        <v>WI</v>
      </c>
      <c r="F13" s="37">
        <f>INDEX('[1]Property Summary'!D:D,MATCH($A13,'[1]Property Summary'!$AC:$AC,FALSE))</f>
        <v>53042</v>
      </c>
      <c r="G13" s="37" t="str">
        <f>INDEX('[1]Property Summary'!E:E,MATCH($A13,'[1]Property Summary'!$AC:$AC,FALSE))</f>
        <v>Ace Hardware</v>
      </c>
      <c r="H13" s="37" t="str">
        <f>INDEX('[1]Property Summary'!F:F,MATCH($A13,'[1]Property Summary'!$AC:$AC,FALSE))</f>
        <v>Olde School Industries, LLC</v>
      </c>
      <c r="I13" s="83" t="str">
        <f>INDEX('[1]Property Summary'!H:H,MATCH($A13,'[1]Property Summary'!$AC:$AC,FALSE))</f>
        <v>Home Improvement</v>
      </c>
      <c r="BE13" s="39">
        <v>1070004</v>
      </c>
      <c r="BF13" s="39">
        <v>1790379</v>
      </c>
      <c r="BG13" s="39">
        <v>1891558</v>
      </c>
      <c r="BH13" s="39">
        <v>1894267</v>
      </c>
      <c r="BJ13" s="39">
        <f>BH13</f>
        <v>1894267</v>
      </c>
      <c r="BX13" s="39">
        <f>-91788+33662+16302+604+144599</f>
        <v>103379</v>
      </c>
      <c r="BY13" s="39">
        <f>-26871+60762+16910+144040+1656</f>
        <v>196497</v>
      </c>
      <c r="BZ13" s="39">
        <f>63643+44086+15372+4147+145631</f>
        <v>272879</v>
      </c>
      <c r="CA13" s="39">
        <f>45104+44085+13647+176227+3404</f>
        <v>282467</v>
      </c>
      <c r="CC13" s="39">
        <f>CA13</f>
        <v>282467</v>
      </c>
      <c r="CD13" s="39">
        <v>38499.99</v>
      </c>
      <c r="CE13" s="39">
        <v>38499.99</v>
      </c>
      <c r="CF13" s="39">
        <v>38499.99</v>
      </c>
      <c r="CG13" s="39">
        <v>38499.99</v>
      </c>
      <c r="CH13" s="39">
        <v>38499.99</v>
      </c>
      <c r="CI13" s="39">
        <v>38499.99</v>
      </c>
      <c r="CJ13" s="39">
        <v>38499.99</v>
      </c>
      <c r="CK13" s="39">
        <v>38499.99</v>
      </c>
      <c r="CL13" s="39">
        <f>12003.94+24836.66-830</f>
        <v>36010.6</v>
      </c>
      <c r="CM13" s="39">
        <f>12337+26248-85.2</f>
        <v>38499.800000000003</v>
      </c>
      <c r="CN13" s="39">
        <f>11592+12337+40777.2</f>
        <v>64706.2</v>
      </c>
      <c r="CO13" s="39">
        <f>CT13-SUM(CL13:CN13)</f>
        <v>37010.400000000023</v>
      </c>
      <c r="CQ13" s="39">
        <v>153999.96</v>
      </c>
      <c r="CR13" s="39">
        <f>SUM(CD13:CG13)</f>
        <v>153999.96</v>
      </c>
      <c r="CS13" s="39">
        <f>SUM(CH13:CK13)</f>
        <v>153999.96</v>
      </c>
      <c r="CT13" s="39">
        <v>176227</v>
      </c>
      <c r="CV13" s="39">
        <f>CT13</f>
        <v>176227</v>
      </c>
      <c r="CW13" s="43" t="str">
        <f t="shared" si="2"/>
        <v/>
      </c>
      <c r="CX13" s="43" t="str">
        <f t="shared" si="2"/>
        <v/>
      </c>
      <c r="CY13" s="43" t="str">
        <f t="shared" si="2"/>
        <v/>
      </c>
      <c r="CZ13" s="43" t="str">
        <f t="shared" si="2"/>
        <v/>
      </c>
      <c r="DA13" s="43" t="str">
        <f t="shared" si="2"/>
        <v/>
      </c>
      <c r="DB13" s="43" t="str">
        <f t="shared" si="2"/>
        <v/>
      </c>
      <c r="DC13" s="43" t="str">
        <f t="shared" si="2"/>
        <v/>
      </c>
      <c r="DD13" s="43" t="str">
        <f t="shared" si="2"/>
        <v/>
      </c>
      <c r="DE13" s="43" t="str">
        <f t="shared" si="3"/>
        <v/>
      </c>
      <c r="DF13" s="43" t="str">
        <f t="shared" si="3"/>
        <v/>
      </c>
      <c r="DG13" s="43" t="str">
        <f t="shared" si="3"/>
        <v/>
      </c>
      <c r="DH13" s="43"/>
      <c r="DI13" s="43"/>
      <c r="DJ13" s="43">
        <f t="shared" si="19"/>
        <v>9.6615526670928334E-2</v>
      </c>
      <c r="DK13" s="43">
        <f t="shared" si="19"/>
        <v>0.10975162242184476</v>
      </c>
      <c r="DL13" s="43">
        <f t="shared" si="19"/>
        <v>0.1442615029515352</v>
      </c>
      <c r="DM13" s="43">
        <f>IFERROR(CA13/BH13,"")</f>
        <v>0.14911678237545181</v>
      </c>
      <c r="DN13" s="43"/>
      <c r="DO13" s="43">
        <f t="shared" si="4"/>
        <v>0.14911678237545181</v>
      </c>
      <c r="DP13" s="118" t="str">
        <f t="shared" si="25"/>
        <v/>
      </c>
      <c r="DQ13" s="118" t="str">
        <f t="shared" si="25"/>
        <v/>
      </c>
      <c r="DR13" s="118" t="str">
        <f t="shared" si="25"/>
        <v/>
      </c>
      <c r="DS13" s="118" t="str">
        <f t="shared" si="25"/>
        <v/>
      </c>
      <c r="DT13" s="118" t="str">
        <f t="shared" si="25"/>
        <v/>
      </c>
      <c r="DU13" s="118" t="str">
        <f t="shared" si="25"/>
        <v/>
      </c>
      <c r="DV13" s="118" t="str">
        <f t="shared" si="25"/>
        <v/>
      </c>
      <c r="DW13" s="118" t="str">
        <f t="shared" si="25"/>
        <v/>
      </c>
      <c r="DX13" s="118" t="str">
        <f t="shared" si="6"/>
        <v/>
      </c>
      <c r="DY13" s="118" t="str">
        <f t="shared" si="6"/>
        <v/>
      </c>
      <c r="DZ13" s="118" t="str">
        <f t="shared" si="6"/>
        <v/>
      </c>
      <c r="EA13" s="118"/>
      <c r="EB13" s="118"/>
      <c r="EC13" s="118">
        <f t="shared" si="26"/>
        <v>0.67129238215386555</v>
      </c>
      <c r="ED13" s="118">
        <f t="shared" si="26"/>
        <v>1.2759548768713966</v>
      </c>
      <c r="EE13" s="118">
        <f t="shared" si="26"/>
        <v>1.7719420186862387</v>
      </c>
      <c r="EF13" s="118">
        <f t="shared" si="26"/>
        <v>1.6028588127812424</v>
      </c>
      <c r="EG13" s="118"/>
      <c r="EH13" s="118">
        <f t="shared" si="7"/>
        <v>1.6028588127812424</v>
      </c>
      <c r="EI13" s="43" t="str">
        <f t="shared" si="8"/>
        <v/>
      </c>
      <c r="EJ13" s="43" t="str">
        <f t="shared" si="8"/>
        <v/>
      </c>
      <c r="EK13" s="43" t="str">
        <f t="shared" si="8"/>
        <v/>
      </c>
      <c r="EL13" s="43" t="str">
        <f t="shared" si="8"/>
        <v/>
      </c>
      <c r="EM13" s="43" t="str">
        <f t="shared" si="8"/>
        <v/>
      </c>
      <c r="EN13" s="43" t="str">
        <f t="shared" si="8"/>
        <v/>
      </c>
      <c r="EO13" s="43" t="str">
        <f t="shared" si="8"/>
        <v/>
      </c>
      <c r="EP13" s="43" t="str">
        <f t="shared" si="8"/>
        <v/>
      </c>
      <c r="EQ13" s="43" t="str">
        <f t="shared" si="8"/>
        <v/>
      </c>
      <c r="ER13" s="43" t="str">
        <f t="shared" si="8"/>
        <v/>
      </c>
      <c r="ES13" s="43" t="str">
        <f t="shared" si="8"/>
        <v/>
      </c>
      <c r="ET13" s="43"/>
      <c r="EU13" s="43"/>
      <c r="EV13" s="43">
        <f t="shared" si="20"/>
        <v>0.14392465822557671</v>
      </c>
      <c r="EW13" s="43">
        <f t="shared" si="20"/>
        <v>8.6015285031828453E-2</v>
      </c>
      <c r="EX13" s="43">
        <f t="shared" si="20"/>
        <v>8.1414347326383849E-2</v>
      </c>
      <c r="EY13" s="43">
        <f>IFERROR(CT13/BH13,"")</f>
        <v>9.303176373763572E-2</v>
      </c>
      <c r="EZ13" s="43"/>
      <c r="FA13" s="43">
        <f t="shared" si="9"/>
        <v>9.303176373763572E-2</v>
      </c>
      <c r="FB13" s="120" t="str">
        <f t="shared" si="10"/>
        <v/>
      </c>
      <c r="FC13" s="52"/>
      <c r="FD13" s="122" t="str">
        <f t="shared" si="11"/>
        <v/>
      </c>
      <c r="FE13" s="123"/>
      <c r="FF13" s="49">
        <f t="shared" si="12"/>
        <v>1894267</v>
      </c>
      <c r="FG13" s="50">
        <f>FF13/BG13-1</f>
        <v>1.4321527545018142E-3</v>
      </c>
      <c r="FH13" s="49">
        <f t="shared" si="13"/>
        <v>282467</v>
      </c>
      <c r="FI13" s="50">
        <f>FH13/BZ13-1</f>
        <v>3.5136452420303499E-2</v>
      </c>
      <c r="FJ13" s="84">
        <f t="shared" si="14"/>
        <v>176227</v>
      </c>
      <c r="FK13" s="51">
        <f t="shared" si="15"/>
        <v>0.14911678237545181</v>
      </c>
      <c r="FL13" s="139">
        <f t="shared" si="16"/>
        <v>1.6028588127812424</v>
      </c>
      <c r="FM13" s="54">
        <f t="shared" si="17"/>
        <v>1.7719420186862387</v>
      </c>
      <c r="FN13" s="51">
        <f t="shared" si="18"/>
        <v>9.303176373763572E-2</v>
      </c>
      <c r="FO13" s="55" t="s">
        <v>40</v>
      </c>
      <c r="FP13" s="124" t="s">
        <v>66</v>
      </c>
      <c r="FR13" s="125" t="s">
        <v>262</v>
      </c>
      <c r="FS13" s="126" t="s">
        <v>263</v>
      </c>
      <c r="FT13" s="12" t="s">
        <v>264</v>
      </c>
      <c r="FX13" s="59" t="s">
        <v>265</v>
      </c>
    </row>
    <row r="14" spans="1:180" x14ac:dyDescent="0.25">
      <c r="A14" s="36" t="s">
        <v>266</v>
      </c>
      <c r="B14" s="37" t="s">
        <v>231</v>
      </c>
      <c r="C14" s="37" t="str">
        <f>INDEX('[1]Property Summary'!A:A,MATCH($A14,'[1]Property Summary'!$AC:$AC,FALSE))</f>
        <v>9980 SW 8th St</v>
      </c>
      <c r="D14" s="37" t="str">
        <f>INDEX('[1]Property Summary'!B:B,MATCH($A14,'[1]Property Summary'!$AC:$AC,FALSE))</f>
        <v>Miami</v>
      </c>
      <c r="E14" s="37" t="str">
        <f>INDEX('[1]Property Summary'!C:C,MATCH($A14,'[1]Property Summary'!$AC:$AC,FALSE))</f>
        <v>FL</v>
      </c>
      <c r="F14" s="37">
        <f>INDEX('[1]Property Summary'!D:D,MATCH($A14,'[1]Property Summary'!$AC:$AC,FALSE))</f>
        <v>33174</v>
      </c>
      <c r="G14" s="37" t="s">
        <v>243</v>
      </c>
      <c r="H14" s="37" t="str">
        <f>INDEX('[1]Property Summary'!F:F,MATCH($A14,'[1]Property Summary'!$AC:$AC,FALSE))</f>
        <v>Trinity Petro I LLC</v>
      </c>
      <c r="I14" s="83" t="str">
        <f>INDEX('[1]Property Summary'!H:H,MATCH($A14,'[1]Property Summary'!$AC:$AC,FALSE))</f>
        <v>Convenience Stores</v>
      </c>
      <c r="R14" s="39">
        <v>90000</v>
      </c>
      <c r="S14" s="39">
        <f>225000-R14</f>
        <v>135000</v>
      </c>
      <c r="T14" s="39">
        <f>360000-S14-R14</f>
        <v>135000</v>
      </c>
      <c r="U14" s="39">
        <f>495000-T14-S14-R14</f>
        <v>135000</v>
      </c>
      <c r="Z14" s="39">
        <f>SUM(R14:U14)</f>
        <v>495000</v>
      </c>
      <c r="AI14" s="117">
        <v>45493</v>
      </c>
      <c r="AJ14" s="117">
        <f>138494-AI14</f>
        <v>93001</v>
      </c>
      <c r="AK14" s="117">
        <f>262764-AJ14-AI14</f>
        <v>124270</v>
      </c>
      <c r="AL14" s="117">
        <f>262764-AK14-AJ14-AI14</f>
        <v>0</v>
      </c>
      <c r="AQ14" s="117">
        <f>SUM(AI14:AL14)</f>
        <v>262764</v>
      </c>
      <c r="AZ14" s="39">
        <v>229012</v>
      </c>
      <c r="BA14" s="39">
        <f>779262-AZ14</f>
        <v>550250</v>
      </c>
      <c r="BB14" s="39">
        <f>1283507-BA14-AZ14</f>
        <v>504245</v>
      </c>
      <c r="BC14" s="39">
        <f>1722522-BB14-BA14-AZ14</f>
        <v>439015</v>
      </c>
      <c r="BJ14" s="39">
        <f>SUM(AZ14:BC14)</f>
        <v>1722522</v>
      </c>
      <c r="BT14" s="39">
        <v>108002</v>
      </c>
      <c r="BU14" s="39">
        <f>286873-BT14</f>
        <v>178871</v>
      </c>
      <c r="BV14" s="39">
        <f>432069-BU14-BT14</f>
        <v>145196</v>
      </c>
      <c r="BW14" s="39">
        <f>563711-BV14-BU14-BT14</f>
        <v>131642</v>
      </c>
      <c r="CC14" s="39">
        <f>SUM(BT14:BW14)</f>
        <v>563711</v>
      </c>
      <c r="CL14" s="39">
        <f>(165000+165000)/6</f>
        <v>55000</v>
      </c>
      <c r="CM14" s="39">
        <f>(165000+165000+165000)/6</f>
        <v>82500</v>
      </c>
      <c r="CN14" s="39">
        <f>(165000+185000+185000)/6</f>
        <v>89166.666666666672</v>
      </c>
      <c r="CO14" s="39">
        <f>319165-CN14-CM14-CL14</f>
        <v>92498.333333333314</v>
      </c>
      <c r="CV14" s="39">
        <f>SUM(CL14:CO14)</f>
        <v>319165</v>
      </c>
      <c r="CW14" s="43" t="str">
        <f t="shared" si="2"/>
        <v/>
      </c>
      <c r="CX14" s="43" t="str">
        <f t="shared" si="2"/>
        <v/>
      </c>
      <c r="CY14" s="43" t="str">
        <f t="shared" si="2"/>
        <v/>
      </c>
      <c r="CZ14" s="43" t="str">
        <f t="shared" si="2"/>
        <v/>
      </c>
      <c r="DA14" s="43" t="str">
        <f t="shared" si="2"/>
        <v/>
      </c>
      <c r="DB14" s="43" t="str">
        <f t="shared" si="2"/>
        <v/>
      </c>
      <c r="DC14" s="43" t="str">
        <f t="shared" si="2"/>
        <v/>
      </c>
      <c r="DD14" s="43" t="str">
        <f t="shared" si="2"/>
        <v/>
      </c>
      <c r="DE14" s="43">
        <f t="shared" si="3"/>
        <v>0.47159974149826211</v>
      </c>
      <c r="DF14" s="43">
        <f t="shared" si="3"/>
        <v>0.32507223989095868</v>
      </c>
      <c r="DG14" s="119">
        <f t="shared" si="3"/>
        <v>0.28794732719213872</v>
      </c>
      <c r="DH14" s="119">
        <f t="shared" si="3"/>
        <v>0.29985763584387776</v>
      </c>
      <c r="DI14" s="119"/>
      <c r="DJ14" s="43" t="str">
        <f t="shared" si="19"/>
        <v/>
      </c>
      <c r="DK14" s="43" t="str">
        <f t="shared" si="19"/>
        <v/>
      </c>
      <c r="DL14" s="43" t="str">
        <f t="shared" si="19"/>
        <v/>
      </c>
      <c r="DM14" s="43"/>
      <c r="DN14" s="43"/>
      <c r="DO14" s="43">
        <f t="shared" si="4"/>
        <v>0.32725910031918315</v>
      </c>
      <c r="DP14" s="118"/>
      <c r="DQ14" s="118"/>
      <c r="DR14" s="118"/>
      <c r="DS14" s="118"/>
      <c r="DT14" s="118"/>
      <c r="DU14" s="118"/>
      <c r="DV14" s="118"/>
      <c r="DW14" s="118"/>
      <c r="DX14" s="118">
        <f t="shared" si="6"/>
        <v>1.9636727272727272</v>
      </c>
      <c r="DY14" s="118">
        <f t="shared" si="6"/>
        <v>2.1681333333333335</v>
      </c>
      <c r="DZ14" s="118">
        <f t="shared" si="6"/>
        <v>1.6283663551401868</v>
      </c>
      <c r="EA14" s="118">
        <f t="shared" si="6"/>
        <v>1.4231823996828774</v>
      </c>
      <c r="EB14" s="118"/>
      <c r="EC14" s="118"/>
      <c r="ED14" s="118"/>
      <c r="EE14" s="118"/>
      <c r="EF14" s="118"/>
      <c r="EG14" s="118"/>
      <c r="EH14" s="118">
        <f t="shared" si="7"/>
        <v>1.7662055676530948</v>
      </c>
      <c r="EI14" s="43" t="str">
        <f t="shared" si="8"/>
        <v/>
      </c>
      <c r="EJ14" s="43" t="str">
        <f t="shared" si="8"/>
        <v/>
      </c>
      <c r="EK14" s="43" t="str">
        <f t="shared" si="8"/>
        <v/>
      </c>
      <c r="EL14" s="43" t="str">
        <f t="shared" si="8"/>
        <v/>
      </c>
      <c r="EM14" s="43" t="str">
        <f t="shared" si="8"/>
        <v/>
      </c>
      <c r="EN14" s="43" t="str">
        <f t="shared" si="8"/>
        <v/>
      </c>
      <c r="EO14" s="43" t="str">
        <f t="shared" si="8"/>
        <v/>
      </c>
      <c r="EP14" s="43" t="str">
        <f t="shared" si="8"/>
        <v/>
      </c>
      <c r="EQ14" s="43">
        <f t="shared" si="8"/>
        <v>0.24016208757619689</v>
      </c>
      <c r="ER14" s="43">
        <f t="shared" si="8"/>
        <v>0.14993184915947297</v>
      </c>
      <c r="ES14" s="119">
        <f t="shared" si="8"/>
        <v>0.17683202940369597</v>
      </c>
      <c r="ET14" s="119">
        <f t="shared" si="8"/>
        <v>0.21069515468340105</v>
      </c>
      <c r="EU14" s="119"/>
      <c r="EV14" s="43" t="str">
        <f t="shared" si="20"/>
        <v/>
      </c>
      <c r="EW14" s="43" t="str">
        <f t="shared" si="20"/>
        <v/>
      </c>
      <c r="EX14" s="43" t="str">
        <f t="shared" si="20"/>
        <v/>
      </c>
      <c r="EY14" s="43"/>
      <c r="EZ14" s="43"/>
      <c r="FA14" s="43">
        <f t="shared" si="9"/>
        <v>0.18528936060032905</v>
      </c>
      <c r="FB14" s="120">
        <f t="shared" si="10"/>
        <v>495000</v>
      </c>
      <c r="FC14" s="121"/>
      <c r="FD14" s="122">
        <f t="shared" si="11"/>
        <v>262764</v>
      </c>
      <c r="FE14" s="123"/>
      <c r="FF14" s="49">
        <f t="shared" si="12"/>
        <v>1722522</v>
      </c>
      <c r="FG14" s="50"/>
      <c r="FH14" s="49">
        <f t="shared" si="13"/>
        <v>563711</v>
      </c>
      <c r="FI14" s="38"/>
      <c r="FJ14" s="84">
        <f t="shared" si="14"/>
        <v>319165</v>
      </c>
      <c r="FK14" s="51">
        <f t="shared" si="15"/>
        <v>0.32725910031918315</v>
      </c>
      <c r="FL14" s="140">
        <f t="shared" si="16"/>
        <v>1.7662055676530948</v>
      </c>
      <c r="FM14" s="54">
        <f t="shared" si="17"/>
        <v>0</v>
      </c>
      <c r="FN14" s="51">
        <f t="shared" si="18"/>
        <v>0.18528936060032905</v>
      </c>
      <c r="FO14" s="55" t="s">
        <v>40</v>
      </c>
      <c r="FP14" s="124" t="s">
        <v>66</v>
      </c>
      <c r="FR14" s="125" t="s">
        <v>233</v>
      </c>
      <c r="FS14" s="126"/>
      <c r="FX14" s="59"/>
    </row>
    <row r="15" spans="1:180" ht="15.75" customHeight="1" x14ac:dyDescent="0.25">
      <c r="A15" s="36" t="s">
        <v>267</v>
      </c>
      <c r="B15" s="37" t="s">
        <v>235</v>
      </c>
      <c r="C15" s="37" t="str">
        <f>INDEX('[1]Property Summary'!A:A,MATCH($A15,'[1]Property Summary'!$AC:$AC,FALSE))</f>
        <v>3570 S US 1</v>
      </c>
      <c r="D15" s="37" t="str">
        <f>INDEX('[1]Property Summary'!B:B,MATCH($A15,'[1]Property Summary'!$AC:$AC,FALSE))</f>
        <v>Saint Augustine</v>
      </c>
      <c r="E15" s="37" t="str">
        <f>INDEX('[1]Property Summary'!C:C,MATCH($A15,'[1]Property Summary'!$AC:$AC,FALSE))</f>
        <v>FL</v>
      </c>
      <c r="F15" s="37">
        <f>INDEX('[1]Property Summary'!D:D,MATCH($A15,'[1]Property Summary'!$AC:$AC,FALSE))</f>
        <v>32084</v>
      </c>
      <c r="G15" s="37" t="str">
        <f>INDEX('[1]Property Summary'!E:E,MATCH($A15,'[1]Property Summary'!$AC:$AC,FALSE))</f>
        <v>Dominos</v>
      </c>
      <c r="H15" s="37" t="str">
        <f>INDEX('[1]Property Summary'!F:F,MATCH($A15,'[1]Property Summary'!$AC:$AC,FALSE))</f>
        <v>Perfect Pizza Pie, LLC</v>
      </c>
      <c r="I15" s="83" t="str">
        <f>INDEX('[1]Property Summary'!H:H,MATCH($A15,'[1]Property Summary'!$AC:$AC,FALSE))</f>
        <v>Restaurants</v>
      </c>
      <c r="AR15" s="39">
        <v>254510</v>
      </c>
      <c r="AS15" s="39">
        <v>238236</v>
      </c>
      <c r="AT15" s="39">
        <v>225915</v>
      </c>
      <c r="AU15" s="39">
        <f>BF15-SUM(AR15:AT15)</f>
        <v>319877</v>
      </c>
      <c r="AV15" s="39">
        <v>246397</v>
      </c>
      <c r="AW15" s="39">
        <v>247011</v>
      </c>
      <c r="AX15" s="39">
        <v>261316</v>
      </c>
      <c r="AY15" s="39">
        <v>352001</v>
      </c>
      <c r="AZ15" s="39">
        <v>270266.77</v>
      </c>
      <c r="BA15" s="39">
        <v>278372.18</v>
      </c>
      <c r="BB15" s="39">
        <v>267332</v>
      </c>
      <c r="BC15" s="39">
        <f>BH15-SUM(AZ15:BB15)</f>
        <v>349139.05000000005</v>
      </c>
      <c r="BD15" s="39">
        <v>252152.13</v>
      </c>
      <c r="BE15" s="39">
        <v>1555670</v>
      </c>
      <c r="BF15" s="39">
        <v>1038538</v>
      </c>
      <c r="BG15" s="39">
        <f t="shared" ref="BG15:BG21" si="27">SUM(AV15:AY15)</f>
        <v>1106725</v>
      </c>
      <c r="BH15" s="39">
        <v>1165110</v>
      </c>
      <c r="BJ15" s="39">
        <f>SUM(BA15:BD15)</f>
        <v>1146995.3599999999</v>
      </c>
      <c r="BK15" s="39">
        <f>-6934+18061+22906</f>
        <v>34033</v>
      </c>
      <c r="BL15" s="39">
        <f>-12821+17443+21441</f>
        <v>26063</v>
      </c>
      <c r="BM15" s="39">
        <f>-12396+17443+20332</f>
        <v>25379</v>
      </c>
      <c r="BN15" s="39">
        <f>BY15-SUM(BK15:BM15)</f>
        <v>7550</v>
      </c>
      <c r="BO15" s="39">
        <f>-10818+17445+22176</f>
        <v>28803</v>
      </c>
      <c r="BP15" s="39">
        <f>-7619+17445+22231</f>
        <v>32057</v>
      </c>
      <c r="BQ15" s="39">
        <f>-8174+17445.45+23518</f>
        <v>32789.449999999997</v>
      </c>
      <c r="BR15" s="39">
        <f>-10237+31680+23252</f>
        <v>44695</v>
      </c>
      <c r="BT15" s="39">
        <f>-10210.16+24324.01+17443.38</f>
        <v>31557.23</v>
      </c>
      <c r="BU15" s="39">
        <f>-3741.44+25053.49+17758.26</f>
        <v>39070.31</v>
      </c>
      <c r="BV15" s="39">
        <f>-14800+24060+17816</f>
        <v>27076</v>
      </c>
      <c r="BW15" s="39">
        <f>CA15-SUM(BT15:BV15)</f>
        <v>39168.460000000006</v>
      </c>
      <c r="BX15" s="39">
        <f>57525+140010+73227</f>
        <v>270762</v>
      </c>
      <c r="BY15" s="39">
        <v>93025</v>
      </c>
      <c r="BZ15" s="39">
        <f t="shared" ref="BZ15:BZ21" si="28">SUM(BO15:BR15)</f>
        <v>138344.45000000001</v>
      </c>
      <c r="CA15" s="39">
        <f>-44462+104860+76474</f>
        <v>136872</v>
      </c>
      <c r="CC15" s="39">
        <f>CA15</f>
        <v>136872</v>
      </c>
      <c r="CD15" s="39">
        <v>17743.650000000001</v>
      </c>
      <c r="CE15" s="39">
        <v>17980.232</v>
      </c>
      <c r="CF15" s="39">
        <v>18098.523000000001</v>
      </c>
      <c r="CG15" s="39">
        <v>18098.523000000001</v>
      </c>
      <c r="CH15" s="39">
        <v>18098.523000000001</v>
      </c>
      <c r="CI15" s="39">
        <v>18339.836640000001</v>
      </c>
      <c r="CJ15" s="39">
        <v>18460.493460000002</v>
      </c>
      <c r="CK15" s="39">
        <v>18460.493460000002</v>
      </c>
      <c r="CL15" s="39">
        <v>18460.493460000002</v>
      </c>
      <c r="CM15" s="39">
        <v>18707</v>
      </c>
      <c r="CN15" s="39">
        <v>18830</v>
      </c>
      <c r="CO15" s="39">
        <v>18830</v>
      </c>
      <c r="CQ15" s="39">
        <v>70510.720000000016</v>
      </c>
      <c r="CR15" s="39">
        <f t="shared" ref="CR15:CR45" si="29">SUM(CD15:CG15)</f>
        <v>71920.928</v>
      </c>
      <c r="CS15" s="39">
        <f t="shared" ref="CS15:CS45" si="30">SUM(CH15:CK15)</f>
        <v>73359.346560000005</v>
      </c>
      <c r="CT15" s="39">
        <f t="shared" ref="CT15:CT23" si="31">SUM(CL15:CO15)</f>
        <v>74827.493459999998</v>
      </c>
      <c r="CV15" s="39">
        <f>CT15</f>
        <v>74827.493459999998</v>
      </c>
      <c r="CW15" s="43">
        <f t="shared" si="2"/>
        <v>0.13371969667203645</v>
      </c>
      <c r="CX15" s="43">
        <f t="shared" si="2"/>
        <v>0.10939992276566095</v>
      </c>
      <c r="CY15" s="43">
        <f t="shared" si="2"/>
        <v>0.11233871146227563</v>
      </c>
      <c r="CZ15" s="43">
        <f t="shared" si="2"/>
        <v>2.3602822334834954E-2</v>
      </c>
      <c r="DA15" s="43">
        <f t="shared" si="2"/>
        <v>0.11689671546325645</v>
      </c>
      <c r="DB15" s="43">
        <f t="shared" si="2"/>
        <v>0.12977964544089129</v>
      </c>
      <c r="DC15" s="43">
        <f t="shared" si="2"/>
        <v>0.12547815671447596</v>
      </c>
      <c r="DD15" s="43">
        <f t="shared" si="2"/>
        <v>0.12697407109638892</v>
      </c>
      <c r="DE15" s="43">
        <f t="shared" si="3"/>
        <v>0.11676326320102171</v>
      </c>
      <c r="DF15" s="43">
        <f t="shared" si="3"/>
        <v>0.14035278237933116</v>
      </c>
      <c r="DG15" s="43">
        <f t="shared" si="3"/>
        <v>0.10128230065985366</v>
      </c>
      <c r="DH15" s="43">
        <f t="shared" si="3"/>
        <v>0.11218584687103893</v>
      </c>
      <c r="DI15" s="43"/>
      <c r="DJ15" s="43">
        <f t="shared" si="19"/>
        <v>0.17404848071891854</v>
      </c>
      <c r="DK15" s="43">
        <f t="shared" si="19"/>
        <v>8.9573034400281928E-2</v>
      </c>
      <c r="DL15" s="43">
        <f t="shared" si="19"/>
        <v>0.125003456143125</v>
      </c>
      <c r="DM15" s="43">
        <f t="shared" si="19"/>
        <v>0.11747560316193321</v>
      </c>
      <c r="DN15" s="43"/>
      <c r="DO15" s="43">
        <f t="shared" si="4"/>
        <v>0.11933090993498005</v>
      </c>
      <c r="DP15" s="118">
        <f t="shared" ref="DP15:DW45" si="32">IF(BK15/CD15=0,"",BK15/CD15)</f>
        <v>1.9180382841185437</v>
      </c>
      <c r="DQ15" s="118">
        <f t="shared" si="32"/>
        <v>1.4495363574841527</v>
      </c>
      <c r="DR15" s="118">
        <f t="shared" si="32"/>
        <v>1.4022691243920844</v>
      </c>
      <c r="DS15" s="118">
        <f t="shared" si="32"/>
        <v>0.41716111309193571</v>
      </c>
      <c r="DT15" s="118">
        <f t="shared" si="32"/>
        <v>1.5914558331638442</v>
      </c>
      <c r="DU15" s="118">
        <f t="shared" si="32"/>
        <v>1.7479435956415366</v>
      </c>
      <c r="DV15" s="118">
        <f t="shared" si="32"/>
        <v>1.7761957485615336</v>
      </c>
      <c r="DW15" s="118">
        <f t="shared" si="32"/>
        <v>2.4211162121340171</v>
      </c>
      <c r="DX15" s="118">
        <f t="shared" si="6"/>
        <v>1.7094467202828498</v>
      </c>
      <c r="DY15" s="118">
        <f t="shared" si="6"/>
        <v>2.0885395841128989</v>
      </c>
      <c r="DZ15" s="118">
        <f t="shared" si="6"/>
        <v>1.437918215613383</v>
      </c>
      <c r="EA15" s="118">
        <f t="shared" si="6"/>
        <v>2.0801093998937867</v>
      </c>
      <c r="EB15" s="118"/>
      <c r="EC15" s="118">
        <f t="shared" ref="EC15:EF30" si="33">IF(BX15/CQ15=0,"",BX15/CQ15)</f>
        <v>3.8400118450073966</v>
      </c>
      <c r="ED15" s="118">
        <f t="shared" si="33"/>
        <v>1.2934343672539932</v>
      </c>
      <c r="EE15" s="118">
        <f t="shared" si="33"/>
        <v>1.8858462689120223</v>
      </c>
      <c r="EF15" s="118">
        <f t="shared" si="33"/>
        <v>1.8291672441649631</v>
      </c>
      <c r="EG15" s="118"/>
      <c r="EH15" s="118">
        <f t="shared" si="7"/>
        <v>1.8291672441649631</v>
      </c>
      <c r="EI15" s="43">
        <f t="shared" si="8"/>
        <v>6.9716906997760411E-2</v>
      </c>
      <c r="EJ15" s="43">
        <f t="shared" si="8"/>
        <v>7.5472355143639078E-2</v>
      </c>
      <c r="EK15" s="43">
        <f t="shared" si="8"/>
        <v>8.0112090830622137E-2</v>
      </c>
      <c r="EL15" s="43">
        <f t="shared" si="8"/>
        <v>5.6579632171115779E-2</v>
      </c>
      <c r="EM15" s="43">
        <f t="shared" si="8"/>
        <v>7.3452692199986208E-2</v>
      </c>
      <c r="EN15" s="43">
        <f t="shared" si="8"/>
        <v>7.4247044220702732E-2</v>
      </c>
      <c r="EO15" s="43">
        <f t="shared" si="8"/>
        <v>7.0644328935082434E-2</v>
      </c>
      <c r="EP15" s="43">
        <f t="shared" si="8"/>
        <v>5.2444434703310505E-2</v>
      </c>
      <c r="EQ15" s="43">
        <f t="shared" si="8"/>
        <v>6.8304710416304606E-2</v>
      </c>
      <c r="ER15" s="43">
        <f t="shared" si="8"/>
        <v>6.7201399220281274E-2</v>
      </c>
      <c r="ES15" s="43">
        <f t="shared" si="8"/>
        <v>7.0436760283093675E-2</v>
      </c>
      <c r="ET15" s="43">
        <f t="shared" si="8"/>
        <v>5.3932666655305377E-2</v>
      </c>
      <c r="EU15" s="43"/>
      <c r="EV15" s="43">
        <f t="shared" si="20"/>
        <v>4.5324985376075912E-2</v>
      </c>
      <c r="EW15" s="43">
        <f t="shared" si="20"/>
        <v>6.9252090920120399E-2</v>
      </c>
      <c r="EX15" s="43">
        <f t="shared" si="20"/>
        <v>6.6285072226614561E-2</v>
      </c>
      <c r="EY15" s="43">
        <f t="shared" si="20"/>
        <v>6.4223544094549015E-2</v>
      </c>
      <c r="EZ15" s="43"/>
      <c r="FA15" s="43">
        <f t="shared" si="9"/>
        <v>6.5237834493070662E-2</v>
      </c>
      <c r="FB15" s="120" t="str">
        <f t="shared" si="10"/>
        <v/>
      </c>
      <c r="FC15" s="52"/>
      <c r="FD15" s="122" t="str">
        <f t="shared" si="11"/>
        <v/>
      </c>
      <c r="FE15" s="123"/>
      <c r="FF15" s="49">
        <f t="shared" si="12"/>
        <v>1146995.3599999999</v>
      </c>
      <c r="FG15" s="50">
        <f t="shared" ref="FG15:FG21" si="34">FF15/BG15-1</f>
        <v>3.6386961530642026E-2</v>
      </c>
      <c r="FH15" s="49">
        <f t="shared" si="13"/>
        <v>136872</v>
      </c>
      <c r="FI15" s="50">
        <f t="shared" ref="FI15:FI21" si="35">FH15/BZ15-1</f>
        <v>-1.0643361551547659E-2</v>
      </c>
      <c r="FJ15" s="84">
        <f t="shared" si="14"/>
        <v>74827.493459999998</v>
      </c>
      <c r="FK15" s="51">
        <f t="shared" si="15"/>
        <v>0.11933090993498005</v>
      </c>
      <c r="FL15" s="140">
        <f t="shared" si="16"/>
        <v>1.8291672441649631</v>
      </c>
      <c r="FM15" s="54">
        <f t="shared" si="17"/>
        <v>1.8858462689120223</v>
      </c>
      <c r="FN15" s="51">
        <f t="shared" si="18"/>
        <v>6.5237834493070662E-2</v>
      </c>
      <c r="FO15" s="55" t="s">
        <v>40</v>
      </c>
      <c r="FP15" s="124" t="s">
        <v>66</v>
      </c>
      <c r="FR15" s="125" t="s">
        <v>113</v>
      </c>
      <c r="FS15" s="126" t="s">
        <v>113</v>
      </c>
      <c r="FT15" s="12" t="s">
        <v>268</v>
      </c>
      <c r="FU15" s="12" t="s">
        <v>269</v>
      </c>
      <c r="FV15" s="12" t="s">
        <v>270</v>
      </c>
      <c r="FW15" s="12" t="s">
        <v>240</v>
      </c>
      <c r="FX15" s="59"/>
    </row>
    <row r="16" spans="1:180" x14ac:dyDescent="0.25">
      <c r="A16" s="36" t="s">
        <v>271</v>
      </c>
      <c r="B16" s="37" t="s">
        <v>256</v>
      </c>
      <c r="C16" s="37" t="str">
        <f>INDEX('[1]Property Summary'!A:A,MATCH($A16,'[1]Property Summary'!$AC:$AC,FALSE))</f>
        <v>3204 Alta Mere</v>
      </c>
      <c r="D16" s="37" t="str">
        <f>INDEX('[1]Property Summary'!B:B,MATCH($A16,'[1]Property Summary'!$AC:$AC,FALSE))</f>
        <v xml:space="preserve">Fort Worth </v>
      </c>
      <c r="E16" s="37" t="str">
        <f>INDEX('[1]Property Summary'!C:C,MATCH($A16,'[1]Property Summary'!$AC:$AC,FALSE))</f>
        <v>TX</v>
      </c>
      <c r="F16" s="37">
        <f>INDEX('[1]Property Summary'!D:D,MATCH($A16,'[1]Property Summary'!$AC:$AC,FALSE))</f>
        <v>76116</v>
      </c>
      <c r="G16" s="37" t="str">
        <f>INDEX('[1]Property Summary'!E:E,MATCH($A16,'[1]Property Summary'!$AC:$AC,FALSE))</f>
        <v>RaceTrac</v>
      </c>
      <c r="H16" s="37" t="str">
        <f>INDEX('[1]Property Summary'!F:F,MATCH($A16,'[1]Property Summary'!$AC:$AC,FALSE))</f>
        <v>Pinnacle Oil &amp; Gas Holdings, Inc.</v>
      </c>
      <c r="I16" s="83" t="str">
        <f>INDEX('[1]Property Summary'!H:H,MATCH($A16,'[1]Property Summary'!$AC:$AC,FALSE))</f>
        <v>Convenience Stores</v>
      </c>
      <c r="M16" s="39">
        <f>W16-1459653</f>
        <v>469285</v>
      </c>
      <c r="N16" s="39">
        <v>509727</v>
      </c>
      <c r="O16" s="39">
        <f>1031695-N16</f>
        <v>521968</v>
      </c>
      <c r="P16" s="39">
        <v>175947</v>
      </c>
      <c r="Q16" s="39">
        <v>170683</v>
      </c>
      <c r="R16" s="39">
        <v>101267</v>
      </c>
      <c r="S16" s="39">
        <v>147615</v>
      </c>
      <c r="T16" s="39">
        <v>143488</v>
      </c>
      <c r="U16" s="39">
        <v>132219</v>
      </c>
      <c r="V16" s="39">
        <v>1948563</v>
      </c>
      <c r="W16" s="39">
        <v>1928938</v>
      </c>
      <c r="X16" s="39">
        <f>SUM(N16:Q16)</f>
        <v>1378325</v>
      </c>
      <c r="Y16" s="39">
        <f>SUM(R16:U16)</f>
        <v>524589</v>
      </c>
      <c r="Z16" s="39">
        <f>SUM(R16:U16)</f>
        <v>524589</v>
      </c>
      <c r="AD16" s="117">
        <f>AN16-1035567</f>
        <v>345189</v>
      </c>
      <c r="AG16" s="117">
        <v>155751</v>
      </c>
      <c r="AH16" s="117">
        <v>154051</v>
      </c>
      <c r="AI16" s="117">
        <v>66833</v>
      </c>
      <c r="AJ16" s="117">
        <v>67414</v>
      </c>
      <c r="AK16" s="117">
        <v>65003</v>
      </c>
      <c r="AL16" s="117">
        <v>59348</v>
      </c>
      <c r="AM16" s="117">
        <v>1331437</v>
      </c>
      <c r="AN16" s="117">
        <v>1380756</v>
      </c>
      <c r="AP16" s="117">
        <f>SUM(AI16:AL16)</f>
        <v>258598</v>
      </c>
      <c r="AQ16" s="117">
        <f>SUM(AI16:AL16)</f>
        <v>258598</v>
      </c>
      <c r="AR16" s="129"/>
      <c r="AU16" s="39">
        <f>6370524-4965278</f>
        <v>1405246</v>
      </c>
      <c r="AV16" s="39">
        <v>1611899</v>
      </c>
      <c r="AW16" s="39">
        <f>3219258-AV16</f>
        <v>1607359</v>
      </c>
      <c r="AX16" s="39">
        <v>923000.19000000006</v>
      </c>
      <c r="AY16" s="39">
        <v>857083</v>
      </c>
      <c r="AZ16" s="39">
        <v>545444</v>
      </c>
      <c r="BA16" s="39">
        <v>552132</v>
      </c>
      <c r="BB16" s="39">
        <v>572375</v>
      </c>
      <c r="BC16" s="39">
        <v>464473</v>
      </c>
      <c r="BE16" s="39">
        <v>6583996</v>
      </c>
      <c r="BF16" s="39">
        <v>6370524</v>
      </c>
      <c r="BG16" s="39">
        <f t="shared" si="27"/>
        <v>4999341.1899999995</v>
      </c>
      <c r="BH16" s="39">
        <f>SUM(AZ16:BC16)</f>
        <v>2134424</v>
      </c>
      <c r="BJ16" s="39">
        <f>SUM(AZ16:BC16)</f>
        <v>2134424</v>
      </c>
      <c r="BN16" s="39">
        <f>1364686-1191326</f>
        <v>173360</v>
      </c>
      <c r="BO16" s="39">
        <v>393388</v>
      </c>
      <c r="BP16" s="39">
        <f>777172-BO16</f>
        <v>383784</v>
      </c>
      <c r="BQ16" s="39">
        <v>352675.73000000004</v>
      </c>
      <c r="BR16" s="39">
        <v>350136</v>
      </c>
      <c r="BT16" s="39">
        <v>202107</v>
      </c>
      <c r="BU16" s="39">
        <v>212013.01</v>
      </c>
      <c r="BV16" s="39">
        <v>224161</v>
      </c>
      <c r="BW16" s="39">
        <v>160946</v>
      </c>
      <c r="BX16" s="39">
        <v>1554496</v>
      </c>
      <c r="BY16" s="39">
        <v>1364686</v>
      </c>
      <c r="BZ16" s="39">
        <f t="shared" si="28"/>
        <v>1479983.73</v>
      </c>
      <c r="CA16" s="39">
        <f>SUM(BT16:BW16)</f>
        <v>799227.01</v>
      </c>
      <c r="CC16" s="39">
        <f>SUM(BT16:BW16)</f>
        <v>799227.01</v>
      </c>
      <c r="CD16" s="39">
        <v>106749.99</v>
      </c>
      <c r="CE16" s="39">
        <v>106749.99</v>
      </c>
      <c r="CF16" s="39">
        <v>106749.99</v>
      </c>
      <c r="CG16" s="39">
        <v>106749.99</v>
      </c>
      <c r="CH16" s="39">
        <v>106749.99</v>
      </c>
      <c r="CI16" s="39">
        <v>106749.99</v>
      </c>
      <c r="CJ16" s="39">
        <v>106749.99</v>
      </c>
      <c r="CK16" s="39">
        <v>106749.99</v>
      </c>
      <c r="CL16" s="39">
        <v>106749.99</v>
      </c>
      <c r="CM16" s="39">
        <v>106749.99</v>
      </c>
      <c r="CN16" s="39">
        <v>109952</v>
      </c>
      <c r="CO16" s="39">
        <v>109875</v>
      </c>
      <c r="CQ16" s="39">
        <v>426999.96</v>
      </c>
      <c r="CR16" s="39">
        <f t="shared" si="29"/>
        <v>426999.96</v>
      </c>
      <c r="CS16" s="39">
        <f t="shared" si="30"/>
        <v>426999.96</v>
      </c>
      <c r="CT16" s="39">
        <f t="shared" si="31"/>
        <v>433326.98</v>
      </c>
      <c r="CV16" s="39">
        <f>SUM(CL16:CO16)</f>
        <v>433326.98</v>
      </c>
      <c r="CW16" s="119" t="str">
        <f t="shared" si="2"/>
        <v/>
      </c>
      <c r="CX16" s="119" t="str">
        <f t="shared" si="2"/>
        <v/>
      </c>
      <c r="CY16" s="119" t="str">
        <f t="shared" si="2"/>
        <v/>
      </c>
      <c r="CZ16" s="119">
        <f t="shared" si="2"/>
        <v>0.1233663002776738</v>
      </c>
      <c r="DA16" s="119">
        <f t="shared" si="2"/>
        <v>0.24405251197500588</v>
      </c>
      <c r="DB16" s="119">
        <f t="shared" si="2"/>
        <v>0.23876682184875936</v>
      </c>
      <c r="DC16" s="119">
        <f t="shared" si="2"/>
        <v>0.38209713694641823</v>
      </c>
      <c r="DD16" s="119">
        <f t="shared" si="2"/>
        <v>0.40852052835022978</v>
      </c>
      <c r="DE16" s="119">
        <f t="shared" si="3"/>
        <v>0.3705366637088317</v>
      </c>
      <c r="DF16" s="119">
        <f t="shared" si="3"/>
        <v>0.38398971622727901</v>
      </c>
      <c r="DG16" s="119">
        <f t="shared" si="3"/>
        <v>0.39163310766542914</v>
      </c>
      <c r="DH16" s="119">
        <f t="shared" si="3"/>
        <v>0.34651314500519942</v>
      </c>
      <c r="DI16" s="119"/>
      <c r="DJ16" s="119">
        <f t="shared" si="19"/>
        <v>0.23610220905358995</v>
      </c>
      <c r="DK16" s="119">
        <f t="shared" si="19"/>
        <v>0.21421879895594145</v>
      </c>
      <c r="DL16" s="119">
        <f t="shared" si="19"/>
        <v>0.29603575226278966</v>
      </c>
      <c r="DM16" s="119">
        <f t="shared" si="19"/>
        <v>0.37444622530481292</v>
      </c>
      <c r="DN16" s="119"/>
      <c r="DO16" s="119">
        <f t="shared" si="4"/>
        <v>0.37444622530481292</v>
      </c>
      <c r="DP16" s="118" t="str">
        <f t="shared" si="32"/>
        <v/>
      </c>
      <c r="DQ16" s="118" t="str">
        <f t="shared" si="32"/>
        <v/>
      </c>
      <c r="DR16" s="118" t="str">
        <f t="shared" si="32"/>
        <v/>
      </c>
      <c r="DS16" s="118">
        <f t="shared" si="32"/>
        <v>1.6239814167664091</v>
      </c>
      <c r="DT16" s="118">
        <f t="shared" si="32"/>
        <v>3.6851338346729587</v>
      </c>
      <c r="DU16" s="118">
        <f t="shared" si="32"/>
        <v>3.5951666131303619</v>
      </c>
      <c r="DV16" s="118">
        <f t="shared" si="32"/>
        <v>3.3037542204921988</v>
      </c>
      <c r="DW16" s="118">
        <f t="shared" si="32"/>
        <v>3.2799628365304763</v>
      </c>
      <c r="DX16" s="118">
        <f t="shared" si="6"/>
        <v>1.8932741820397359</v>
      </c>
      <c r="DY16" s="118">
        <f t="shared" si="6"/>
        <v>1.9860705373368184</v>
      </c>
      <c r="DZ16" s="118">
        <f t="shared" si="6"/>
        <v>2.0387168946449359</v>
      </c>
      <c r="EA16" s="118">
        <f t="shared" si="6"/>
        <v>1.4648100113765643</v>
      </c>
      <c r="EB16" s="118"/>
      <c r="EC16" s="118">
        <f t="shared" si="33"/>
        <v>3.640506195831962</v>
      </c>
      <c r="ED16" s="118">
        <f t="shared" si="33"/>
        <v>3.1959862478675642</v>
      </c>
      <c r="EE16" s="118">
        <f t="shared" si="33"/>
        <v>3.4660043762064987</v>
      </c>
      <c r="EF16" s="118">
        <f t="shared" si="33"/>
        <v>1.8443970647754266</v>
      </c>
      <c r="EG16" s="118"/>
      <c r="EH16" s="118">
        <f t="shared" si="7"/>
        <v>1.8443970647754266</v>
      </c>
      <c r="EI16" s="119" t="str">
        <f t="shared" si="8"/>
        <v/>
      </c>
      <c r="EJ16" s="119" t="str">
        <f t="shared" si="8"/>
        <v/>
      </c>
      <c r="EK16" s="119" t="str">
        <f t="shared" si="8"/>
        <v/>
      </c>
      <c r="EL16" s="119">
        <f t="shared" si="8"/>
        <v>7.5965339876434446E-2</v>
      </c>
      <c r="EM16" s="119">
        <f t="shared" si="8"/>
        <v>6.622622757381201E-2</v>
      </c>
      <c r="EN16" s="119">
        <f t="shared" si="8"/>
        <v>6.641328415120705E-2</v>
      </c>
      <c r="EO16" s="119">
        <f t="shared" si="8"/>
        <v>0.1156554366473099</v>
      </c>
      <c r="EP16" s="119">
        <f t="shared" si="8"/>
        <v>0.12455035276630153</v>
      </c>
      <c r="EQ16" s="119">
        <f t="shared" si="8"/>
        <v>0.19571209876724285</v>
      </c>
      <c r="ER16" s="119">
        <f t="shared" si="8"/>
        <v>0.19334142922344658</v>
      </c>
      <c r="ES16" s="119">
        <f t="shared" si="8"/>
        <v>0.19209783795588556</v>
      </c>
      <c r="ET16" s="119">
        <f t="shared" si="8"/>
        <v>0.23655842212572098</v>
      </c>
      <c r="EU16" s="119"/>
      <c r="EV16" s="119">
        <f t="shared" si="20"/>
        <v>6.4854225306333724E-2</v>
      </c>
      <c r="EW16" s="119">
        <f t="shared" si="20"/>
        <v>6.7027447035754043E-2</v>
      </c>
      <c r="EX16" s="119">
        <f t="shared" si="20"/>
        <v>8.5411245956589749E-2</v>
      </c>
      <c r="EY16" s="119">
        <f t="shared" si="20"/>
        <v>0.20301822880552317</v>
      </c>
      <c r="EZ16" s="119"/>
      <c r="FA16" s="119">
        <f t="shared" si="9"/>
        <v>0.20301822880552317</v>
      </c>
      <c r="FB16" s="130">
        <f t="shared" si="10"/>
        <v>524589</v>
      </c>
      <c r="FC16" s="131">
        <f>FB16/X16-1</f>
        <v>-0.61940108464984678</v>
      </c>
      <c r="FD16" s="132">
        <f t="shared" si="11"/>
        <v>258598</v>
      </c>
      <c r="FE16" s="133">
        <f>FD16/AN16-1</f>
        <v>-0.81271274577115726</v>
      </c>
      <c r="FF16" s="49">
        <f t="shared" si="12"/>
        <v>2134424</v>
      </c>
      <c r="FG16" s="50">
        <f t="shared" si="34"/>
        <v>-0.57305894539276281</v>
      </c>
      <c r="FH16" s="49">
        <f t="shared" si="13"/>
        <v>799227.01</v>
      </c>
      <c r="FI16" s="50">
        <f t="shared" si="35"/>
        <v>-0.45997581338275928</v>
      </c>
      <c r="FJ16" s="84">
        <f t="shared" si="14"/>
        <v>433326.98</v>
      </c>
      <c r="FK16" s="134">
        <f t="shared" si="15"/>
        <v>0.37444622530481292</v>
      </c>
      <c r="FL16" s="140">
        <f t="shared" si="16"/>
        <v>1.8443970647754266</v>
      </c>
      <c r="FM16" s="135">
        <f t="shared" si="17"/>
        <v>3.4660043762064987</v>
      </c>
      <c r="FN16" s="134">
        <f t="shared" si="18"/>
        <v>0.20301822880552317</v>
      </c>
      <c r="FO16" s="55" t="s">
        <v>40</v>
      </c>
      <c r="FP16" s="136" t="s">
        <v>66</v>
      </c>
      <c r="FQ16" s="137"/>
      <c r="FR16" s="137" t="s">
        <v>113</v>
      </c>
      <c r="FS16" s="138"/>
      <c r="FT16" s="12" t="s">
        <v>257</v>
      </c>
      <c r="FU16" s="12" t="s">
        <v>258</v>
      </c>
      <c r="FX16" s="59" t="s">
        <v>259</v>
      </c>
    </row>
    <row r="17" spans="1:180" x14ac:dyDescent="0.25">
      <c r="A17" s="36" t="s">
        <v>272</v>
      </c>
      <c r="B17" s="37" t="s">
        <v>246</v>
      </c>
      <c r="C17" s="37" t="str">
        <f>INDEX('[1]Property Summary'!A:A,MATCH($A17,'[1]Property Summary'!$AC:$AC,FALSE))</f>
        <v>2483 North Church Street</v>
      </c>
      <c r="D17" s="37" t="str">
        <f>INDEX('[1]Property Summary'!B:B,MATCH($A17,'[1]Property Summary'!$AC:$AC,FALSE))</f>
        <v>Rocky Mount</v>
      </c>
      <c r="E17" s="37" t="str">
        <f>INDEX('[1]Property Summary'!C:C,MATCH($A17,'[1]Property Summary'!$AC:$AC,FALSE))</f>
        <v>NC</v>
      </c>
      <c r="F17" s="37">
        <f>INDEX('[1]Property Summary'!D:D,MATCH($A17,'[1]Property Summary'!$AC:$AC,FALSE))</f>
        <v>27804</v>
      </c>
      <c r="G17" s="37" t="str">
        <f>INDEX('[1]Property Summary'!E:E,MATCH($A17,'[1]Property Summary'!$AC:$AC,FALSE))</f>
        <v>GPM</v>
      </c>
      <c r="H17" s="37" t="str">
        <f>INDEX('[1]Property Summary'!F:F,MATCH($A17,'[1]Property Summary'!$AC:$AC,FALSE))</f>
        <v>GPM Empire, LLC</v>
      </c>
      <c r="I17" s="83" t="str">
        <f>INDEX('[1]Property Summary'!H:H,MATCH($A17,'[1]Property Summary'!$AC:$AC,FALSE))</f>
        <v>Convenience Stores</v>
      </c>
      <c r="AA17" s="117">
        <v>175169</v>
      </c>
      <c r="AB17" s="117">
        <v>175012</v>
      </c>
      <c r="AC17" s="117">
        <v>153236</v>
      </c>
      <c r="AD17" s="117">
        <v>172451</v>
      </c>
      <c r="AE17" s="117">
        <v>174609</v>
      </c>
      <c r="AF17" s="117">
        <v>148178</v>
      </c>
      <c r="AG17" s="117">
        <v>121980</v>
      </c>
      <c r="AH17" s="117">
        <v>108161</v>
      </c>
      <c r="AI17" s="117">
        <v>113935</v>
      </c>
      <c r="AJ17" s="117">
        <v>166665</v>
      </c>
      <c r="AK17" s="117">
        <v>178299</v>
      </c>
      <c r="AL17" s="117">
        <v>158906</v>
      </c>
      <c r="AM17" s="117">
        <v>342497</v>
      </c>
      <c r="AN17" s="117">
        <v>675868</v>
      </c>
      <c r="AO17" s="117">
        <f>SUM(AE17:AH17)</f>
        <v>552928</v>
      </c>
      <c r="AP17" s="117">
        <f>SUM(AI17:AL17)</f>
        <v>617805</v>
      </c>
      <c r="AQ17" s="117">
        <f>SUM(AI17:AL17)</f>
        <v>617805</v>
      </c>
      <c r="AR17" s="39">
        <v>85259</v>
      </c>
      <c r="AS17" s="39">
        <v>74066</v>
      </c>
      <c r="AT17" s="39">
        <v>63332</v>
      </c>
      <c r="AU17" s="39">
        <v>52274</v>
      </c>
      <c r="AV17" s="39">
        <v>67176</v>
      </c>
      <c r="AW17" s="39">
        <v>63502</v>
      </c>
      <c r="AX17" s="39">
        <v>57157</v>
      </c>
      <c r="AY17" s="39">
        <v>50813</v>
      </c>
      <c r="AZ17" s="39">
        <v>50262</v>
      </c>
      <c r="BA17" s="39">
        <v>90761</v>
      </c>
      <c r="BB17" s="39">
        <v>92185</v>
      </c>
      <c r="BC17" s="39">
        <v>74622</v>
      </c>
      <c r="BE17" s="39">
        <v>132890</v>
      </c>
      <c r="BF17" s="39">
        <v>274930</v>
      </c>
      <c r="BG17" s="39">
        <f t="shared" si="27"/>
        <v>238648</v>
      </c>
      <c r="BH17" s="39">
        <f>SUM(AZ17:BC17)</f>
        <v>307830</v>
      </c>
      <c r="BJ17" s="39">
        <f>SUM(AZ17:BC17)</f>
        <v>307830</v>
      </c>
      <c r="BK17" s="39">
        <f>44564+34855</f>
        <v>79419</v>
      </c>
      <c r="BL17" s="39">
        <f>28793+34855</f>
        <v>63648</v>
      </c>
      <c r="BM17" s="39">
        <f>19152+34855</f>
        <v>54007</v>
      </c>
      <c r="BN17" s="39">
        <f>-12914+34855</f>
        <v>21941</v>
      </c>
      <c r="BO17" s="39">
        <f>7076+34158</f>
        <v>41234</v>
      </c>
      <c r="BP17" s="39">
        <f>15649+32764</f>
        <v>48413</v>
      </c>
      <c r="BQ17" s="39">
        <f>16093+32764</f>
        <v>48857</v>
      </c>
      <c r="BR17" s="39">
        <f>-30311+32764</f>
        <v>2453</v>
      </c>
      <c r="BT17" s="39">
        <f>3743+32764</f>
        <v>36507</v>
      </c>
      <c r="BU17" s="39">
        <f>42196+32764</f>
        <v>74960</v>
      </c>
      <c r="BV17" s="39">
        <f>46327+32764</f>
        <v>79091</v>
      </c>
      <c r="BW17" s="39">
        <f>24651+32764</f>
        <v>57415</v>
      </c>
      <c r="BX17" s="39">
        <f>62578+61840</f>
        <v>124418</v>
      </c>
      <c r="BY17" s="39">
        <f>79595+139420</f>
        <v>219015</v>
      </c>
      <c r="BZ17" s="39">
        <f t="shared" si="28"/>
        <v>140957</v>
      </c>
      <c r="CA17" s="39">
        <f>SUM(BT17:BW17)</f>
        <v>247973</v>
      </c>
      <c r="CC17" s="39">
        <f>SUM(BT17:BW17)</f>
        <v>247973</v>
      </c>
      <c r="CD17" s="39">
        <v>34854.99</v>
      </c>
      <c r="CE17" s="39">
        <v>34854.99</v>
      </c>
      <c r="CF17" s="39">
        <v>34854.99</v>
      </c>
      <c r="CG17" s="39">
        <v>34854.99</v>
      </c>
      <c r="CH17" s="39">
        <v>34157.89</v>
      </c>
      <c r="CI17" s="39">
        <v>32763.69</v>
      </c>
      <c r="CJ17" s="39">
        <v>32763.69</v>
      </c>
      <c r="CK17" s="39">
        <v>32763.69</v>
      </c>
      <c r="CL17" s="39">
        <v>32763.69</v>
      </c>
      <c r="CM17" s="39">
        <v>32763.69</v>
      </c>
      <c r="CN17" s="39">
        <v>32763.69</v>
      </c>
      <c r="CO17" s="39">
        <v>32764</v>
      </c>
      <c r="CQ17" s="39">
        <v>139419.96</v>
      </c>
      <c r="CR17" s="39">
        <f t="shared" si="29"/>
        <v>139419.96</v>
      </c>
      <c r="CS17" s="39">
        <f t="shared" si="30"/>
        <v>132448.95999999999</v>
      </c>
      <c r="CT17" s="39">
        <f t="shared" si="31"/>
        <v>131055.06999999999</v>
      </c>
      <c r="CV17" s="39">
        <f>SUM(CL17:CO17)</f>
        <v>131055.06999999999</v>
      </c>
      <c r="CW17" s="43">
        <f t="shared" si="2"/>
        <v>0.93150283254553767</v>
      </c>
      <c r="CX17" s="43">
        <f t="shared" si="2"/>
        <v>0.85934166824183833</v>
      </c>
      <c r="CY17" s="43">
        <f t="shared" si="2"/>
        <v>0.85276005810648647</v>
      </c>
      <c r="CZ17" s="43">
        <f t="shared" si="2"/>
        <v>0.41973065003634696</v>
      </c>
      <c r="DA17" s="43">
        <f t="shared" si="2"/>
        <v>0.61382041205192328</v>
      </c>
      <c r="DB17" s="43">
        <f t="shared" si="2"/>
        <v>0.7623854366791597</v>
      </c>
      <c r="DC17" s="43">
        <f t="shared" si="2"/>
        <v>0.85478594047973122</v>
      </c>
      <c r="DD17" s="43">
        <f t="shared" si="2"/>
        <v>4.8275047724007633E-2</v>
      </c>
      <c r="DE17" s="43">
        <f t="shared" si="3"/>
        <v>0.72633400978870721</v>
      </c>
      <c r="DF17" s="43">
        <f t="shared" si="3"/>
        <v>0.8259053998964313</v>
      </c>
      <c r="DG17" s="43">
        <f t="shared" si="3"/>
        <v>0.85795953788577317</v>
      </c>
      <c r="DH17" s="43">
        <f t="shared" si="3"/>
        <v>0.7694111656079976</v>
      </c>
      <c r="DI17" s="43"/>
      <c r="DJ17" s="43">
        <f t="shared" si="19"/>
        <v>0.93624802468206791</v>
      </c>
      <c r="DK17" s="43">
        <f t="shared" si="19"/>
        <v>0.79662095806205213</v>
      </c>
      <c r="DL17" s="43">
        <f t="shared" si="19"/>
        <v>0.59064815125205328</v>
      </c>
      <c r="DM17" s="43">
        <f t="shared" si="19"/>
        <v>0.80555176558490071</v>
      </c>
      <c r="DN17" s="43"/>
      <c r="DO17" s="43">
        <f t="shared" si="4"/>
        <v>0.80555176558490071</v>
      </c>
      <c r="DP17" s="118">
        <f t="shared" si="32"/>
        <v>2.2785546631916982</v>
      </c>
      <c r="DQ17" s="118">
        <f t="shared" si="32"/>
        <v>1.8260799960063108</v>
      </c>
      <c r="DR17" s="118">
        <f t="shared" si="32"/>
        <v>1.5494768467872178</v>
      </c>
      <c r="DS17" s="118">
        <f t="shared" si="32"/>
        <v>0.62949379701443042</v>
      </c>
      <c r="DT17" s="118">
        <f t="shared" si="32"/>
        <v>1.2071588731036957</v>
      </c>
      <c r="DU17" s="118">
        <f t="shared" si="32"/>
        <v>1.4776418651256926</v>
      </c>
      <c r="DV17" s="118">
        <f t="shared" si="32"/>
        <v>1.4911934522637713</v>
      </c>
      <c r="DW17" s="118">
        <f t="shared" si="32"/>
        <v>7.4869466778619873E-2</v>
      </c>
      <c r="DX17" s="118">
        <f t="shared" si="6"/>
        <v>1.1142517829951388</v>
      </c>
      <c r="DY17" s="118">
        <f t="shared" si="6"/>
        <v>2.2878985852936591</v>
      </c>
      <c r="DZ17" s="118">
        <f t="shared" si="6"/>
        <v>2.4139832845445675</v>
      </c>
      <c r="EA17" s="118">
        <f t="shared" si="6"/>
        <v>1.752380661701868</v>
      </c>
      <c r="EB17" s="118"/>
      <c r="EC17" s="118">
        <f t="shared" si="33"/>
        <v>0.89239732962195661</v>
      </c>
      <c r="ED17" s="118">
        <f t="shared" si="33"/>
        <v>1.5709013257499143</v>
      </c>
      <c r="EE17" s="118">
        <f t="shared" si="33"/>
        <v>1.0642363669748709</v>
      </c>
      <c r="EF17" s="118">
        <f t="shared" si="33"/>
        <v>1.8921282480715933</v>
      </c>
      <c r="EG17" s="118"/>
      <c r="EH17" s="118">
        <f t="shared" si="7"/>
        <v>1.8921282480715933</v>
      </c>
      <c r="EI17" s="43">
        <f t="shared" si="8"/>
        <v>0.40881302853657675</v>
      </c>
      <c r="EJ17" s="43">
        <f t="shared" si="8"/>
        <v>0.47059365970890826</v>
      </c>
      <c r="EK17" s="43">
        <f t="shared" si="8"/>
        <v>0.55035353375860541</v>
      </c>
      <c r="EL17" s="43">
        <f t="shared" si="8"/>
        <v>0.66677487852469675</v>
      </c>
      <c r="EM17" s="43">
        <f t="shared" si="8"/>
        <v>0.50848353578659045</v>
      </c>
      <c r="EN17" s="43">
        <f t="shared" si="8"/>
        <v>0.51594737173632321</v>
      </c>
      <c r="EO17" s="43">
        <f t="shared" si="8"/>
        <v>0.57322270238116069</v>
      </c>
      <c r="EP17" s="43">
        <f t="shared" si="8"/>
        <v>0.64478952236632359</v>
      </c>
      <c r="EQ17" s="43">
        <f t="shared" si="8"/>
        <v>0.65185806374597111</v>
      </c>
      <c r="ER17" s="43">
        <f t="shared" si="8"/>
        <v>0.36098864049536694</v>
      </c>
      <c r="ES17" s="43">
        <f t="shared" si="8"/>
        <v>0.35541237728480773</v>
      </c>
      <c r="ET17" s="43">
        <f t="shared" si="8"/>
        <v>0.43906622711800808</v>
      </c>
      <c r="EU17" s="43"/>
      <c r="EV17" s="43">
        <f t="shared" si="20"/>
        <v>1.0491380841297313</v>
      </c>
      <c r="EW17" s="43">
        <f t="shared" si="20"/>
        <v>0.50711075546502749</v>
      </c>
      <c r="EX17" s="43">
        <f t="shared" si="20"/>
        <v>0.55499715061513188</v>
      </c>
      <c r="EY17" s="43">
        <f t="shared" si="20"/>
        <v>0.42573845953935613</v>
      </c>
      <c r="EZ17" s="43"/>
      <c r="FA17" s="43">
        <f t="shared" si="9"/>
        <v>0.42573845953935613</v>
      </c>
      <c r="FB17" s="120" t="str">
        <f t="shared" si="10"/>
        <v/>
      </c>
      <c r="FC17" s="52"/>
      <c r="FD17" s="122">
        <f t="shared" si="11"/>
        <v>617805</v>
      </c>
      <c r="FE17" s="66">
        <f>FD17/AO17-1</f>
        <v>0.1173335407141618</v>
      </c>
      <c r="FF17" s="49">
        <f t="shared" si="12"/>
        <v>307830</v>
      </c>
      <c r="FG17" s="50">
        <f t="shared" si="34"/>
        <v>0.28989138815326343</v>
      </c>
      <c r="FH17" s="49">
        <f t="shared" si="13"/>
        <v>247973</v>
      </c>
      <c r="FI17" s="50">
        <f t="shared" si="35"/>
        <v>0.75921025560986677</v>
      </c>
      <c r="FJ17" s="84">
        <f t="shared" si="14"/>
        <v>131055.06999999999</v>
      </c>
      <c r="FK17" s="51">
        <f t="shared" si="15"/>
        <v>0.80555176558490071</v>
      </c>
      <c r="FL17" s="140">
        <f t="shared" si="16"/>
        <v>1.8921282480715933</v>
      </c>
      <c r="FM17" s="54">
        <f t="shared" si="17"/>
        <v>1.0642363669748709</v>
      </c>
      <c r="FN17" s="51">
        <f t="shared" si="18"/>
        <v>0.42573845953935613</v>
      </c>
      <c r="FO17" s="55" t="s">
        <v>40</v>
      </c>
      <c r="FP17" s="124" t="s">
        <v>66</v>
      </c>
      <c r="FR17" s="125" t="s">
        <v>273</v>
      </c>
      <c r="FS17" s="126" t="s">
        <v>248</v>
      </c>
      <c r="FT17" s="12" t="s">
        <v>249</v>
      </c>
      <c r="FU17" s="12" t="s">
        <v>274</v>
      </c>
      <c r="FV17" s="12" t="s">
        <v>275</v>
      </c>
      <c r="FW17" s="12" t="s">
        <v>276</v>
      </c>
      <c r="FX17" s="59" t="s">
        <v>252</v>
      </c>
    </row>
    <row r="18" spans="1:180" x14ac:dyDescent="0.25">
      <c r="A18" s="36" t="s">
        <v>277</v>
      </c>
      <c r="B18" s="37" t="s">
        <v>278</v>
      </c>
      <c r="C18" s="37" t="str">
        <f>INDEX('[1]Property Summary'!A:A,MATCH($A18,'[1]Property Summary'!$AC:$AC,FALSE))</f>
        <v xml:space="preserve"> 1320 Old Country Rd</v>
      </c>
      <c r="D18" s="37" t="str">
        <f>INDEX('[1]Property Summary'!B:B,MATCH($A18,'[1]Property Summary'!$AC:$AC,FALSE))</f>
        <v>Riverhead</v>
      </c>
      <c r="E18" s="37" t="str">
        <f>INDEX('[1]Property Summary'!C:C,MATCH($A18,'[1]Property Summary'!$AC:$AC,FALSE))</f>
        <v>NY</v>
      </c>
      <c r="F18" s="37">
        <f>INDEX('[1]Property Summary'!D:D,MATCH($A18,'[1]Property Summary'!$AC:$AC,FALSE))</f>
        <v>11901</v>
      </c>
      <c r="G18" s="37" t="str">
        <f>INDEX('[1]Property Summary'!E:E,MATCH($A18,'[1]Property Summary'!$AC:$AC,FALSE))</f>
        <v>Kia / Chevrolet</v>
      </c>
      <c r="H18" s="37" t="str">
        <f>INDEX('[1]Property Summary'!F:F,MATCH($A18,'[1]Property Summary'!$AC:$AC,FALSE))</f>
        <v>Dennis &amp; Co Holdings, LLC</v>
      </c>
      <c r="I18" s="83" t="str">
        <f>INDEX('[1]Property Summary'!H:H,MATCH($A18,'[1]Property Summary'!$AC:$AC,FALSE))</f>
        <v>Auto</v>
      </c>
      <c r="AR18" s="39">
        <v>29137261.530000001</v>
      </c>
      <c r="AS18" s="39">
        <v>32073562.469999999</v>
      </c>
      <c r="AT18" s="39">
        <v>34316850.939999998</v>
      </c>
      <c r="AU18" s="39">
        <v>30097563.339999996</v>
      </c>
      <c r="AV18" s="39">
        <v>29015469.409999996</v>
      </c>
      <c r="AW18" s="39">
        <v>29657063.780000001</v>
      </c>
      <c r="AX18" s="39">
        <v>31479062.029999997</v>
      </c>
      <c r="AY18" s="39">
        <v>32106319</v>
      </c>
      <c r="AZ18" s="39">
        <v>30730422</v>
      </c>
      <c r="BA18" s="39">
        <v>30733858.130000003</v>
      </c>
      <c r="BB18" s="39">
        <v>32588947</v>
      </c>
      <c r="BC18" s="39">
        <v>30044165</v>
      </c>
      <c r="BF18" s="39">
        <f>SUM(AR18:AU18)</f>
        <v>125625238.28</v>
      </c>
      <c r="BG18" s="39">
        <f t="shared" si="27"/>
        <v>122257914.22</v>
      </c>
      <c r="BH18" s="39">
        <f>SUM(AZ18:BC18)</f>
        <v>124097392.13</v>
      </c>
      <c r="BJ18" s="39">
        <f>SUM(AZ18:BC18)</f>
        <v>124097392.13</v>
      </c>
      <c r="BK18" s="39">
        <v>204730.51000000117</v>
      </c>
      <c r="BL18" s="39">
        <v>169653.81000000017</v>
      </c>
      <c r="BM18" s="39">
        <v>260172.27999999898</v>
      </c>
      <c r="BN18" s="39">
        <v>2175884.8600000013</v>
      </c>
      <c r="BO18" s="39">
        <v>810860.32999999681</v>
      </c>
      <c r="BP18" s="39">
        <v>236519.59000000532</v>
      </c>
      <c r="BQ18" s="39">
        <v>1230260.299999998</v>
      </c>
      <c r="BR18" s="39">
        <f>2653066+CK18</f>
        <v>3504122.98</v>
      </c>
      <c r="BT18" s="39">
        <f>288764+CL18</f>
        <v>1153888.04</v>
      </c>
      <c r="BU18" s="39">
        <f>664791+CM18</f>
        <v>1529915.04</v>
      </c>
      <c r="BV18" s="39">
        <f>1194617+CN18</f>
        <v>2059741.04</v>
      </c>
      <c r="BW18" s="39">
        <f>1181383+CO18</f>
        <v>2046507.04</v>
      </c>
      <c r="BY18" s="39">
        <f>SUM(BK18:BN18)</f>
        <v>2810441.4600000018</v>
      </c>
      <c r="BZ18" s="39">
        <f t="shared" si="28"/>
        <v>5781763.2000000002</v>
      </c>
      <c r="CA18" s="39">
        <f>SUM(BT18:BW18)</f>
        <v>6790051.1600000001</v>
      </c>
      <c r="CC18" s="39">
        <f>SUM(BT18:BW18)</f>
        <v>6790051.1600000001</v>
      </c>
      <c r="CD18" s="39">
        <v>823437.51</v>
      </c>
      <c r="CE18" s="39">
        <v>823437.51</v>
      </c>
      <c r="CF18" s="39">
        <v>823437.51</v>
      </c>
      <c r="CG18" s="39">
        <v>830299.49</v>
      </c>
      <c r="CH18" s="39">
        <v>844023.45000000007</v>
      </c>
      <c r="CI18" s="39">
        <v>844023.45000000007</v>
      </c>
      <c r="CJ18" s="39">
        <v>844023.45000000007</v>
      </c>
      <c r="CK18" s="39">
        <v>851056.98</v>
      </c>
      <c r="CL18" s="39">
        <v>865124.04</v>
      </c>
      <c r="CM18" s="39">
        <v>865124.04</v>
      </c>
      <c r="CN18" s="39">
        <v>865124.04</v>
      </c>
      <c r="CO18" s="39">
        <v>865124.04</v>
      </c>
      <c r="CQ18" s="39">
        <v>3293750.04</v>
      </c>
      <c r="CR18" s="39">
        <f t="shared" si="29"/>
        <v>3300612.0200000005</v>
      </c>
      <c r="CS18" s="39">
        <f t="shared" si="30"/>
        <v>3383127.33</v>
      </c>
      <c r="CT18" s="39">
        <f t="shared" si="31"/>
        <v>3460496.16</v>
      </c>
      <c r="CV18" s="39">
        <f>SUM(CL18:CO18)</f>
        <v>3460496.16</v>
      </c>
      <c r="CW18" s="43">
        <f t="shared" si="2"/>
        <v>7.0264156358417103E-3</v>
      </c>
      <c r="CX18" s="43">
        <f t="shared" si="2"/>
        <v>5.2895218658259692E-3</v>
      </c>
      <c r="CY18" s="43">
        <f t="shared" si="2"/>
        <v>7.5814730336092716E-3</v>
      </c>
      <c r="CZ18" s="43">
        <f t="shared" si="2"/>
        <v>7.2294385941476733E-2</v>
      </c>
      <c r="DA18" s="43">
        <f t="shared" si="2"/>
        <v>2.7945793967425494E-2</v>
      </c>
      <c r="DB18" s="43">
        <f t="shared" si="2"/>
        <v>7.9751519487747929E-3</v>
      </c>
      <c r="DC18" s="43">
        <f t="shared" si="2"/>
        <v>3.9081860152870573E-2</v>
      </c>
      <c r="DD18" s="43">
        <f t="shared" si="2"/>
        <v>0.10914122481621141</v>
      </c>
      <c r="DE18" s="43">
        <f t="shared" si="3"/>
        <v>3.7548720938488905E-2</v>
      </c>
      <c r="DF18" s="43">
        <f t="shared" si="3"/>
        <v>4.9779465810269229E-2</v>
      </c>
      <c r="DG18" s="43">
        <f t="shared" si="3"/>
        <v>6.3203669636825027E-2</v>
      </c>
      <c r="DH18" s="43">
        <f t="shared" si="3"/>
        <v>6.8116622312518915E-2</v>
      </c>
      <c r="DI18" s="43"/>
      <c r="DJ18" s="43" t="str">
        <f t="shared" si="19"/>
        <v/>
      </c>
      <c r="DK18" s="43">
        <f t="shared" si="19"/>
        <v>2.2371630879902852E-2</v>
      </c>
      <c r="DL18" s="43">
        <f t="shared" si="19"/>
        <v>4.7291524944519048E-2</v>
      </c>
      <c r="DM18" s="43">
        <f t="shared" si="19"/>
        <v>5.4715502424797009E-2</v>
      </c>
      <c r="DN18" s="43"/>
      <c r="DO18" s="43">
        <f t="shared" si="4"/>
        <v>5.4715502424797009E-2</v>
      </c>
      <c r="DP18" s="118">
        <f t="shared" si="32"/>
        <v>0.24862907933353823</v>
      </c>
      <c r="DQ18" s="118">
        <f t="shared" si="32"/>
        <v>0.20603118990778083</v>
      </c>
      <c r="DR18" s="118">
        <f t="shared" si="32"/>
        <v>0.31595874227298559</v>
      </c>
      <c r="DS18" s="118">
        <f t="shared" si="32"/>
        <v>2.62060242864897</v>
      </c>
      <c r="DT18" s="118">
        <f t="shared" si="32"/>
        <v>0.96070829548633596</v>
      </c>
      <c r="DU18" s="118">
        <f t="shared" si="32"/>
        <v>0.28022869506766107</v>
      </c>
      <c r="DV18" s="118">
        <f t="shared" si="32"/>
        <v>1.4576138850170548</v>
      </c>
      <c r="DW18" s="118">
        <f t="shared" si="32"/>
        <v>4.1173776402139373</v>
      </c>
      <c r="DX18" s="118">
        <f t="shared" si="6"/>
        <v>1.3337833497263583</v>
      </c>
      <c r="DY18" s="118">
        <f t="shared" si="6"/>
        <v>1.7684343160779581</v>
      </c>
      <c r="DZ18" s="118">
        <f t="shared" si="6"/>
        <v>2.3808621015779425</v>
      </c>
      <c r="EA18" s="118">
        <f t="shared" si="6"/>
        <v>2.3655648732174868</v>
      </c>
      <c r="EB18" s="118"/>
      <c r="EC18" s="118" t="str">
        <f t="shared" si="33"/>
        <v/>
      </c>
      <c r="ED18" s="118">
        <f t="shared" si="33"/>
        <v>0.85149100923410004</v>
      </c>
      <c r="EE18" s="118">
        <f t="shared" si="33"/>
        <v>1.7089995841214762</v>
      </c>
      <c r="EF18" s="118">
        <f t="shared" si="33"/>
        <v>1.9621611601499365</v>
      </c>
      <c r="EG18" s="118"/>
      <c r="EH18" s="118">
        <f t="shared" si="7"/>
        <v>1.9621611601499365</v>
      </c>
      <c r="EI18" s="43">
        <f t="shared" si="8"/>
        <v>2.8260634897077783E-2</v>
      </c>
      <c r="EJ18" s="43">
        <f t="shared" si="8"/>
        <v>2.5673403469608409E-2</v>
      </c>
      <c r="EK18" s="43">
        <f t="shared" si="8"/>
        <v>2.3995136134131546E-2</v>
      </c>
      <c r="EL18" s="43">
        <f t="shared" si="8"/>
        <v>2.758693388632304E-2</v>
      </c>
      <c r="EM18" s="43">
        <f t="shared" si="8"/>
        <v>2.9088740150077074E-2</v>
      </c>
      <c r="EN18" s="43">
        <f t="shared" si="8"/>
        <v>2.8459440768009842E-2</v>
      </c>
      <c r="EO18" s="43">
        <f t="shared" si="8"/>
        <v>2.6812217250807333E-2</v>
      </c>
      <c r="EP18" s="43">
        <f t="shared" si="8"/>
        <v>2.6507460416125561E-2</v>
      </c>
      <c r="EQ18" s="43">
        <f t="shared" si="8"/>
        <v>2.8152039044566327E-2</v>
      </c>
      <c r="ER18" s="43">
        <f t="shared" si="8"/>
        <v>2.8148891569052089E-2</v>
      </c>
      <c r="ES18" s="43">
        <f t="shared" si="8"/>
        <v>2.6546547821873472E-2</v>
      </c>
      <c r="ET18" s="43">
        <f t="shared" si="8"/>
        <v>2.8795076847700711E-2</v>
      </c>
      <c r="EU18" s="43"/>
      <c r="EV18" s="43" t="str">
        <f t="shared" si="20"/>
        <v/>
      </c>
      <c r="EW18" s="43">
        <f t="shared" si="20"/>
        <v>2.6273478683028855E-2</v>
      </c>
      <c r="EX18" s="43">
        <f t="shared" si="20"/>
        <v>2.7672051757010582E-2</v>
      </c>
      <c r="EY18" s="43">
        <f t="shared" si="20"/>
        <v>2.788532539325974E-2</v>
      </c>
      <c r="EZ18" s="43"/>
      <c r="FA18" s="43">
        <f t="shared" si="9"/>
        <v>2.788532539325974E-2</v>
      </c>
      <c r="FB18" s="120" t="str">
        <f t="shared" si="10"/>
        <v/>
      </c>
      <c r="FC18" s="52"/>
      <c r="FD18" s="122" t="str">
        <f t="shared" si="11"/>
        <v/>
      </c>
      <c r="FE18" s="123"/>
      <c r="FF18" s="49">
        <f t="shared" si="12"/>
        <v>124097392.13</v>
      </c>
      <c r="FG18" s="50">
        <f t="shared" si="34"/>
        <v>1.5045880029409764E-2</v>
      </c>
      <c r="FH18" s="49">
        <f t="shared" si="13"/>
        <v>6790051.1600000001</v>
      </c>
      <c r="FI18" s="50">
        <f t="shared" si="35"/>
        <v>0.17439108540453541</v>
      </c>
      <c r="FJ18" s="84">
        <f t="shared" si="14"/>
        <v>3460496.16</v>
      </c>
      <c r="FK18" s="51">
        <f t="shared" si="15"/>
        <v>5.4715502424797009E-2</v>
      </c>
      <c r="FL18" s="140">
        <f t="shared" si="16"/>
        <v>1.9621611601499365</v>
      </c>
      <c r="FM18" s="54">
        <f t="shared" si="17"/>
        <v>1.7089995841214762</v>
      </c>
      <c r="FN18" s="51">
        <f t="shared" si="18"/>
        <v>2.788532539325974E-2</v>
      </c>
      <c r="FO18" s="55" t="s">
        <v>40</v>
      </c>
      <c r="FP18" s="124" t="s">
        <v>66</v>
      </c>
      <c r="FR18" s="125" t="s">
        <v>113</v>
      </c>
      <c r="FS18" s="126" t="s">
        <v>279</v>
      </c>
      <c r="FT18" s="12" t="s">
        <v>280</v>
      </c>
      <c r="FU18" s="12" t="s">
        <v>281</v>
      </c>
      <c r="FW18" s="12" t="s">
        <v>282</v>
      </c>
      <c r="FX18" s="59" t="s">
        <v>241</v>
      </c>
    </row>
    <row r="19" spans="1:180" x14ac:dyDescent="0.25">
      <c r="A19" s="36" t="s">
        <v>283</v>
      </c>
      <c r="B19" s="37" t="s">
        <v>235</v>
      </c>
      <c r="C19" s="37" t="str">
        <f>INDEX('[1]Property Summary'!A:A,MATCH($A19,'[1]Property Summary'!$AC:$AC,FALSE))</f>
        <v>1210 Blanding Blvd.</v>
      </c>
      <c r="D19" s="37" t="str">
        <f>INDEX('[1]Property Summary'!B:B,MATCH($A19,'[1]Property Summary'!$AC:$AC,FALSE))</f>
        <v>Orange Park</v>
      </c>
      <c r="E19" s="37" t="str">
        <f>INDEX('[1]Property Summary'!C:C,MATCH($A19,'[1]Property Summary'!$AC:$AC,FALSE))</f>
        <v>FL</v>
      </c>
      <c r="F19" s="37">
        <f>INDEX('[1]Property Summary'!D:D,MATCH($A19,'[1]Property Summary'!$AC:$AC,FALSE))</f>
        <v>32073</v>
      </c>
      <c r="G19" s="37" t="str">
        <f>INDEX('[1]Property Summary'!E:E,MATCH($A19,'[1]Property Summary'!$AC:$AC,FALSE))</f>
        <v>Dominos</v>
      </c>
      <c r="H19" s="37" t="str">
        <f>INDEX('[1]Property Summary'!F:F,MATCH($A19,'[1]Property Summary'!$AC:$AC,FALSE))</f>
        <v>Perfect Pizza Pie, LLC</v>
      </c>
      <c r="I19" s="83" t="str">
        <f>INDEX('[1]Property Summary'!H:H,MATCH($A19,'[1]Property Summary'!$AC:$AC,FALSE))</f>
        <v>Restaurants</v>
      </c>
      <c r="AR19" s="39">
        <v>331183</v>
      </c>
      <c r="AS19" s="39">
        <v>332854</v>
      </c>
      <c r="AT19" s="39">
        <v>337263</v>
      </c>
      <c r="AU19" s="39">
        <f>BF19-SUM(AR19:AT19)</f>
        <v>454002</v>
      </c>
      <c r="AV19" s="39">
        <v>362971</v>
      </c>
      <c r="AW19" s="39">
        <v>374849</v>
      </c>
      <c r="AX19" s="39">
        <v>350383</v>
      </c>
      <c r="AY19" s="39">
        <v>486870</v>
      </c>
      <c r="AZ19" s="39">
        <v>384753.19</v>
      </c>
      <c r="BA19" s="39">
        <v>373630.33</v>
      </c>
      <c r="BB19" s="39">
        <v>278209</v>
      </c>
      <c r="BC19" s="39">
        <f>BH19-SUM(AZ19:BB19)</f>
        <v>339113.48</v>
      </c>
      <c r="BD19" s="39">
        <v>252822.82</v>
      </c>
      <c r="BE19" s="39">
        <v>1418316</v>
      </c>
      <c r="BF19" s="39">
        <v>1455302</v>
      </c>
      <c r="BG19" s="39">
        <f t="shared" si="27"/>
        <v>1575073</v>
      </c>
      <c r="BH19" s="39">
        <v>1375706</v>
      </c>
      <c r="BJ19" s="39">
        <f>SUM(BA19:BD19)</f>
        <v>1243775.6300000001</v>
      </c>
      <c r="BK19" s="39">
        <f>12927+15530+29806</f>
        <v>58263</v>
      </c>
      <c r="BL19" s="39">
        <f>7546+15501+29957</f>
        <v>53004</v>
      </c>
      <c r="BM19" s="39">
        <f>-2922+15351+30354</f>
        <v>42783</v>
      </c>
      <c r="BN19" s="39">
        <f>BY19-SUM(BK19:BM19)</f>
        <v>44830</v>
      </c>
      <c r="BO19" s="39">
        <f>4863+15366+32667</f>
        <v>52896</v>
      </c>
      <c r="BP19" s="39">
        <f>4379+15547+33736</f>
        <v>53662</v>
      </c>
      <c r="BQ19" s="39">
        <f>960.6+15397+31534</f>
        <v>47891.6</v>
      </c>
      <c r="BR19" s="39">
        <f>-1041+43818+20685</f>
        <v>63462</v>
      </c>
      <c r="BT19" s="39">
        <f>8594.47+34627.78+15339.3</f>
        <v>58561.55</v>
      </c>
      <c r="BU19" s="39">
        <f>-6098.21+33626.74+15712.64</f>
        <v>43241.17</v>
      </c>
      <c r="BV19" s="39">
        <f>-11979+25039+16609</f>
        <v>29669</v>
      </c>
      <c r="BW19" s="39">
        <f>CA19-SUM(BT19:BV19)</f>
        <v>31555.279999999999</v>
      </c>
      <c r="BX19" s="39">
        <f>28643+127648+69550</f>
        <v>225841</v>
      </c>
      <c r="BY19" s="39">
        <v>198880</v>
      </c>
      <c r="BZ19" s="39">
        <f t="shared" si="28"/>
        <v>217911.6</v>
      </c>
      <c r="CA19" s="39">
        <f>-27762+123813+66976</f>
        <v>163027</v>
      </c>
      <c r="CC19" s="39">
        <f>CA19</f>
        <v>163027</v>
      </c>
      <c r="CD19" s="39">
        <v>18946.59</v>
      </c>
      <c r="CE19" s="39">
        <v>19199.211199999998</v>
      </c>
      <c r="CF19" s="39">
        <v>19325.521799999999</v>
      </c>
      <c r="CG19" s="39">
        <v>19325.521799999999</v>
      </c>
      <c r="CH19" s="39">
        <v>19325.521799999999</v>
      </c>
      <c r="CI19" s="39">
        <v>19583.195424000001</v>
      </c>
      <c r="CJ19" s="39">
        <v>19712.032235999999</v>
      </c>
      <c r="CK19" s="39">
        <v>19712.032235999999</v>
      </c>
      <c r="CL19" s="39">
        <v>19712.032235999999</v>
      </c>
      <c r="CM19" s="39">
        <v>19975</v>
      </c>
      <c r="CN19" s="39">
        <v>20106</v>
      </c>
      <c r="CO19" s="39">
        <v>20106</v>
      </c>
      <c r="CQ19" s="39">
        <v>75291.039999999994</v>
      </c>
      <c r="CR19" s="39">
        <f t="shared" si="29"/>
        <v>76796.844800000006</v>
      </c>
      <c r="CS19" s="39">
        <f t="shared" si="30"/>
        <v>78332.781695999991</v>
      </c>
      <c r="CT19" s="39">
        <f t="shared" si="31"/>
        <v>79899.032235999999</v>
      </c>
      <c r="CV19" s="39">
        <f>CT19</f>
        <v>79899.032235999999</v>
      </c>
      <c r="CW19" s="43">
        <f t="shared" si="2"/>
        <v>0.175923884982019</v>
      </c>
      <c r="CX19" s="43">
        <f t="shared" si="2"/>
        <v>0.15924098854152272</v>
      </c>
      <c r="CY19" s="43">
        <f t="shared" si="2"/>
        <v>0.12685352380782949</v>
      </c>
      <c r="CZ19" s="43">
        <f t="shared" si="2"/>
        <v>9.8744058396218512E-2</v>
      </c>
      <c r="DA19" s="43">
        <f t="shared" si="2"/>
        <v>0.14573065065804156</v>
      </c>
      <c r="DB19" s="43">
        <f t="shared" si="2"/>
        <v>0.14315631094120565</v>
      </c>
      <c r="DC19" s="43">
        <f t="shared" si="2"/>
        <v>0.13668357197695094</v>
      </c>
      <c r="DD19" s="43">
        <f t="shared" si="2"/>
        <v>0.13034690985273276</v>
      </c>
      <c r="DE19" s="43">
        <f t="shared" si="3"/>
        <v>0.15220549568412936</v>
      </c>
      <c r="DF19" s="43">
        <f t="shared" si="3"/>
        <v>0.11573249420088566</v>
      </c>
      <c r="DG19" s="43">
        <f t="shared" si="3"/>
        <v>0.10664284764331851</v>
      </c>
      <c r="DH19" s="43">
        <f t="shared" si="3"/>
        <v>9.305227264926183E-2</v>
      </c>
      <c r="DI19" s="43"/>
      <c r="DJ19" s="43">
        <f t="shared" si="19"/>
        <v>0.15923179319700265</v>
      </c>
      <c r="DK19" s="43">
        <f t="shared" si="19"/>
        <v>0.13665892027908985</v>
      </c>
      <c r="DL19" s="43">
        <f t="shared" si="19"/>
        <v>0.13835015900850312</v>
      </c>
      <c r="DM19" s="43">
        <f t="shared" si="19"/>
        <v>0.11850424436616544</v>
      </c>
      <c r="DN19" s="43"/>
      <c r="DO19" s="43">
        <f t="shared" si="4"/>
        <v>0.13107428387224471</v>
      </c>
      <c r="DP19" s="118">
        <f t="shared" si="32"/>
        <v>3.0751180027646137</v>
      </c>
      <c r="DQ19" s="118">
        <f t="shared" si="32"/>
        <v>2.7607384203367693</v>
      </c>
      <c r="DR19" s="118">
        <f t="shared" si="32"/>
        <v>2.213808270884567</v>
      </c>
      <c r="DS19" s="118">
        <f t="shared" si="32"/>
        <v>2.319730378509107</v>
      </c>
      <c r="DT19" s="118">
        <f t="shared" si="32"/>
        <v>2.7371059134869</v>
      </c>
      <c r="DU19" s="118">
        <f t="shared" si="32"/>
        <v>2.7402065310666837</v>
      </c>
      <c r="DV19" s="118">
        <f t="shared" si="32"/>
        <v>2.4295617735717667</v>
      </c>
      <c r="DW19" s="118">
        <f t="shared" si="32"/>
        <v>3.2194549623401905</v>
      </c>
      <c r="DX19" s="118">
        <f t="shared" si="6"/>
        <v>2.9708529947028648</v>
      </c>
      <c r="DY19" s="118">
        <f t="shared" si="6"/>
        <v>2.1647644555694616</v>
      </c>
      <c r="DZ19" s="118">
        <f t="shared" si="6"/>
        <v>1.4756291654232567</v>
      </c>
      <c r="EA19" s="118">
        <f t="shared" si="6"/>
        <v>1.5694459365363573</v>
      </c>
      <c r="EB19" s="118"/>
      <c r="EC19" s="118">
        <f t="shared" si="33"/>
        <v>2.999573388812268</v>
      </c>
      <c r="ED19" s="118">
        <f t="shared" si="33"/>
        <v>2.5896897264195937</v>
      </c>
      <c r="EE19" s="118">
        <f t="shared" si="33"/>
        <v>2.7818698031902973</v>
      </c>
      <c r="EF19" s="118">
        <f t="shared" si="33"/>
        <v>2.0404126988479985</v>
      </c>
      <c r="EG19" s="118"/>
      <c r="EH19" s="118">
        <f t="shared" si="7"/>
        <v>2.0404126988479985</v>
      </c>
      <c r="EI19" s="43">
        <f t="shared" si="8"/>
        <v>5.7208824124426676E-2</v>
      </c>
      <c r="EJ19" s="43">
        <f t="shared" si="8"/>
        <v>5.768057827155449E-2</v>
      </c>
      <c r="EK19" s="43">
        <f t="shared" si="8"/>
        <v>5.7301043399364884E-2</v>
      </c>
      <c r="EL19" s="43">
        <f t="shared" si="8"/>
        <v>4.2567041114356323E-2</v>
      </c>
      <c r="EM19" s="43">
        <f t="shared" si="8"/>
        <v>5.3242605607610523E-2</v>
      </c>
      <c r="EN19" s="43">
        <f t="shared" si="8"/>
        <v>5.2242890934749729E-2</v>
      </c>
      <c r="EO19" s="43">
        <f t="shared" si="8"/>
        <v>5.6258529198048988E-2</v>
      </c>
      <c r="EP19" s="43">
        <f t="shared" si="8"/>
        <v>4.0487259917431753E-2</v>
      </c>
      <c r="EQ19" s="43">
        <f t="shared" si="8"/>
        <v>5.1232927363123355E-2</v>
      </c>
      <c r="ER19" s="43">
        <f t="shared" si="8"/>
        <v>5.3461933885292447E-2</v>
      </c>
      <c r="ES19" s="43">
        <f t="shared" si="8"/>
        <v>7.2269408969515725E-2</v>
      </c>
      <c r="ET19" s="43">
        <f t="shared" si="8"/>
        <v>5.928988726723574E-2</v>
      </c>
      <c r="EU19" s="43"/>
      <c r="EV19" s="43">
        <f t="shared" si="20"/>
        <v>5.3084813257412308E-2</v>
      </c>
      <c r="EW19" s="43">
        <f t="shared" si="20"/>
        <v>5.2770383604227852E-2</v>
      </c>
      <c r="EX19" s="43">
        <f t="shared" si="20"/>
        <v>4.9732794413973186E-2</v>
      </c>
      <c r="EY19" s="43">
        <f t="shared" si="20"/>
        <v>5.8078566376827609E-2</v>
      </c>
      <c r="EZ19" s="43"/>
      <c r="FA19" s="43">
        <f t="shared" si="9"/>
        <v>6.4239104150963303E-2</v>
      </c>
      <c r="FB19" s="120" t="str">
        <f t="shared" si="10"/>
        <v/>
      </c>
      <c r="FC19" s="52"/>
      <c r="FD19" s="122" t="str">
        <f t="shared" si="11"/>
        <v/>
      </c>
      <c r="FE19" s="123"/>
      <c r="FF19" s="49">
        <f t="shared" si="12"/>
        <v>1243775.6300000001</v>
      </c>
      <c r="FG19" s="50">
        <f t="shared" si="34"/>
        <v>-0.21033778751841969</v>
      </c>
      <c r="FH19" s="49">
        <f t="shared" si="13"/>
        <v>163027</v>
      </c>
      <c r="FI19" s="50">
        <f t="shared" si="35"/>
        <v>-0.2518663531450368</v>
      </c>
      <c r="FJ19" s="84">
        <f t="shared" si="14"/>
        <v>79899.032235999999</v>
      </c>
      <c r="FK19" s="51">
        <f t="shared" si="15"/>
        <v>0.13107428387224471</v>
      </c>
      <c r="FL19" s="140">
        <f t="shared" si="16"/>
        <v>2.0404126988479985</v>
      </c>
      <c r="FM19" s="54">
        <f t="shared" si="17"/>
        <v>2.7818698031902973</v>
      </c>
      <c r="FN19" s="51">
        <f t="shared" si="18"/>
        <v>6.4239104150963303E-2</v>
      </c>
      <c r="FO19" s="55" t="s">
        <v>40</v>
      </c>
      <c r="FP19" s="124" t="s">
        <v>66</v>
      </c>
      <c r="FR19" s="125" t="s">
        <v>284</v>
      </c>
      <c r="FS19" s="126" t="s">
        <v>113</v>
      </c>
      <c r="FT19" s="12" t="s">
        <v>268</v>
      </c>
      <c r="FU19" s="12" t="s">
        <v>285</v>
      </c>
      <c r="FV19" s="12" t="s">
        <v>270</v>
      </c>
      <c r="FX19" s="59"/>
    </row>
    <row r="20" spans="1:180" x14ac:dyDescent="0.25">
      <c r="A20" s="36" t="s">
        <v>286</v>
      </c>
      <c r="B20" s="37" t="s">
        <v>256</v>
      </c>
      <c r="C20" s="37" t="str">
        <f>INDEX('[1]Property Summary'!A:A,MATCH($A20,'[1]Property Summary'!$AC:$AC,FALSE))</f>
        <v>2520 Hwy 146</v>
      </c>
      <c r="D20" s="37" t="str">
        <f>INDEX('[1]Property Summary'!B:B,MATCH($A20,'[1]Property Summary'!$AC:$AC,FALSE))</f>
        <v xml:space="preserve">Texas City </v>
      </c>
      <c r="E20" s="37" t="str">
        <f>INDEX('[1]Property Summary'!C:C,MATCH($A20,'[1]Property Summary'!$AC:$AC,FALSE))</f>
        <v>TX</v>
      </c>
      <c r="F20" s="37">
        <f>INDEX('[1]Property Summary'!D:D,MATCH($A20,'[1]Property Summary'!$AC:$AC,FALSE))</f>
        <v>77590</v>
      </c>
      <c r="G20" s="37" t="str">
        <f>INDEX('[1]Property Summary'!E:E,MATCH($A20,'[1]Property Summary'!$AC:$AC,FALSE))</f>
        <v>Citgo</v>
      </c>
      <c r="H20" s="37" t="str">
        <f>INDEX('[1]Property Summary'!F:F,MATCH($A20,'[1]Property Summary'!$AC:$AC,FALSE))</f>
        <v>Pinnacle Oil &amp; Gas Holdings, Inc.</v>
      </c>
      <c r="I20" s="83" t="str">
        <f>INDEX('[1]Property Summary'!H:H,MATCH($A20,'[1]Property Summary'!$AC:$AC,FALSE))</f>
        <v>Convenience Stores</v>
      </c>
      <c r="M20" s="39">
        <f>W20-1009696</f>
        <v>351752</v>
      </c>
      <c r="N20" s="39">
        <v>342635</v>
      </c>
      <c r="O20" s="39">
        <f>675269-N20</f>
        <v>332634</v>
      </c>
      <c r="P20" s="39">
        <v>270216</v>
      </c>
      <c r="Q20" s="39">
        <v>259745</v>
      </c>
      <c r="R20" s="39">
        <v>154757</v>
      </c>
      <c r="S20" s="39">
        <v>124999</v>
      </c>
      <c r="T20" s="39">
        <v>136584</v>
      </c>
      <c r="U20" s="39">
        <v>48935</v>
      </c>
      <c r="V20" s="39">
        <v>1158104</v>
      </c>
      <c r="W20" s="39">
        <v>1361448</v>
      </c>
      <c r="X20" s="39">
        <f>SUM(N20:Q20)</f>
        <v>1205230</v>
      </c>
      <c r="Y20" s="39">
        <f>SUM(R20:U20)</f>
        <v>465275</v>
      </c>
      <c r="Z20" s="39">
        <f>SUM(R20:U20)</f>
        <v>465275</v>
      </c>
      <c r="AG20" s="117">
        <v>66657</v>
      </c>
      <c r="AH20" s="117">
        <v>68484</v>
      </c>
      <c r="AI20" s="117">
        <v>55987</v>
      </c>
      <c r="AJ20" s="117">
        <v>57546</v>
      </c>
      <c r="AK20" s="117">
        <v>7628</v>
      </c>
      <c r="AL20" s="117">
        <v>13146</v>
      </c>
      <c r="AM20" s="117">
        <v>379526</v>
      </c>
      <c r="AN20" s="117">
        <v>391528</v>
      </c>
      <c r="AP20" s="117">
        <f>SUM(AI20:AL20)</f>
        <v>134307</v>
      </c>
      <c r="AQ20" s="117">
        <f>SUM(AI20:AL20)</f>
        <v>134307</v>
      </c>
      <c r="AR20" s="129"/>
      <c r="AU20" s="39">
        <f>2546874-1985391</f>
        <v>561483</v>
      </c>
      <c r="AV20" s="39">
        <v>636256</v>
      </c>
      <c r="AW20" s="39">
        <f>1266512-AV20</f>
        <v>630256</v>
      </c>
      <c r="AX20" s="39">
        <v>637269.67000000004</v>
      </c>
      <c r="AY20" s="39">
        <v>544017</v>
      </c>
      <c r="AZ20" s="39">
        <v>434537</v>
      </c>
      <c r="BA20" s="39">
        <v>321150</v>
      </c>
      <c r="BB20" s="39">
        <v>473103</v>
      </c>
      <c r="BC20" s="39">
        <v>202979</v>
      </c>
      <c r="BE20" s="39">
        <v>2459938</v>
      </c>
      <c r="BF20" s="39">
        <v>2546874</v>
      </c>
      <c r="BG20" s="39">
        <f t="shared" si="27"/>
        <v>2447798.67</v>
      </c>
      <c r="BH20" s="39">
        <f t="shared" ref="BH20:BH30" si="36">SUM(AZ20:BC20)</f>
        <v>1431769</v>
      </c>
      <c r="BJ20" s="39">
        <f t="shared" ref="BJ20:BJ34" si="37">SUM(AZ20:BC20)</f>
        <v>1431769</v>
      </c>
      <c r="BN20" s="39">
        <f>623656-(409056+53000)</f>
        <v>161600</v>
      </c>
      <c r="BO20" s="39">
        <f>157561</f>
        <v>157561</v>
      </c>
      <c r="BP20" s="39">
        <f>294844-BO20</f>
        <v>137283</v>
      </c>
      <c r="BQ20" s="39">
        <v>314342.05000000005</v>
      </c>
      <c r="BR20" s="39">
        <v>213818</v>
      </c>
      <c r="BT20" s="39">
        <v>166689</v>
      </c>
      <c r="BU20" s="141">
        <v>159784</v>
      </c>
      <c r="BV20" s="39">
        <v>180291</v>
      </c>
      <c r="BW20" s="39">
        <v>101410</v>
      </c>
      <c r="BX20" s="39">
        <v>560941</v>
      </c>
      <c r="BY20" s="39">
        <v>623656</v>
      </c>
      <c r="BZ20" s="39">
        <f t="shared" si="28"/>
        <v>823004.05</v>
      </c>
      <c r="CA20" s="39">
        <f>SUM(BT20:BW20)</f>
        <v>608174</v>
      </c>
      <c r="CC20" s="39">
        <f>SUM(BT20:BW20)</f>
        <v>608174</v>
      </c>
      <c r="CD20" s="39">
        <v>72750</v>
      </c>
      <c r="CE20" s="39">
        <v>72750</v>
      </c>
      <c r="CF20" s="39">
        <v>72750</v>
      </c>
      <c r="CG20" s="39">
        <v>72750</v>
      </c>
      <c r="CH20" s="39">
        <v>72750</v>
      </c>
      <c r="CI20" s="39">
        <v>72750</v>
      </c>
      <c r="CJ20" s="39">
        <v>72750</v>
      </c>
      <c r="CK20" s="39">
        <v>72750</v>
      </c>
      <c r="CL20" s="39">
        <v>72750</v>
      </c>
      <c r="CM20" s="39">
        <v>72750</v>
      </c>
      <c r="CN20" s="39">
        <v>74933</v>
      </c>
      <c r="CO20" s="39">
        <v>74932</v>
      </c>
      <c r="CQ20" s="39">
        <v>291000</v>
      </c>
      <c r="CR20" s="39">
        <f t="shared" si="29"/>
        <v>291000</v>
      </c>
      <c r="CS20" s="39">
        <f t="shared" si="30"/>
        <v>291000</v>
      </c>
      <c r="CT20" s="39">
        <f t="shared" si="31"/>
        <v>295365</v>
      </c>
      <c r="CV20" s="39">
        <f>SUM(CL20:CO20)</f>
        <v>295365</v>
      </c>
      <c r="CW20" s="119" t="str">
        <f t="shared" si="2"/>
        <v/>
      </c>
      <c r="CX20" s="119" t="str">
        <f t="shared" si="2"/>
        <v/>
      </c>
      <c r="CY20" s="119" t="str">
        <f t="shared" si="2"/>
        <v/>
      </c>
      <c r="CZ20" s="119">
        <f t="shared" si="2"/>
        <v>0.2878092480092897</v>
      </c>
      <c r="DA20" s="119">
        <f t="shared" si="2"/>
        <v>0.24763774329829502</v>
      </c>
      <c r="DB20" s="119">
        <f t="shared" si="2"/>
        <v>0.2178210124140032</v>
      </c>
      <c r="DC20" s="119">
        <f t="shared" si="2"/>
        <v>0.49326378580044461</v>
      </c>
      <c r="DD20" s="119">
        <f t="shared" si="2"/>
        <v>0.39303551175790463</v>
      </c>
      <c r="DE20" s="119">
        <f t="shared" ref="DE20:DH52" si="38">IFERROR(BT20/AZ20,"")</f>
        <v>0.38360139642884267</v>
      </c>
      <c r="DF20" s="119">
        <f t="shared" si="38"/>
        <v>0.49753697649073642</v>
      </c>
      <c r="DG20" s="119">
        <f t="shared" si="38"/>
        <v>0.38108192085021653</v>
      </c>
      <c r="DH20" s="119">
        <f t="shared" si="38"/>
        <v>0.49960833386705028</v>
      </c>
      <c r="DI20" s="119"/>
      <c r="DJ20" s="119">
        <f t="shared" si="19"/>
        <v>0.22803054385923549</v>
      </c>
      <c r="DK20" s="119">
        <f t="shared" si="19"/>
        <v>0.24487116363039554</v>
      </c>
      <c r="DL20" s="119">
        <f t="shared" si="19"/>
        <v>0.33622211666615542</v>
      </c>
      <c r="DM20" s="119">
        <f t="shared" si="19"/>
        <v>0.42477103499237656</v>
      </c>
      <c r="DN20" s="119"/>
      <c r="DO20" s="119">
        <f t="shared" si="4"/>
        <v>0.42477103499237656</v>
      </c>
      <c r="DP20" s="118" t="str">
        <f t="shared" si="32"/>
        <v/>
      </c>
      <c r="DQ20" s="118" t="str">
        <f t="shared" si="32"/>
        <v/>
      </c>
      <c r="DR20" s="118" t="str">
        <f t="shared" si="32"/>
        <v/>
      </c>
      <c r="DS20" s="118">
        <f t="shared" si="32"/>
        <v>2.2213058419243987</v>
      </c>
      <c r="DT20" s="118">
        <f t="shared" si="32"/>
        <v>2.1657869415807558</v>
      </c>
      <c r="DU20" s="118">
        <f t="shared" si="32"/>
        <v>1.8870515463917525</v>
      </c>
      <c r="DV20" s="118">
        <f t="shared" si="32"/>
        <v>4.3208529209622002</v>
      </c>
      <c r="DW20" s="118">
        <f t="shared" si="32"/>
        <v>2.9390790378006875</v>
      </c>
      <c r="DX20" s="118">
        <f t="shared" ref="DX20:EA52" si="39">IF(BT20/CL20=0,"",BT20/CL20)</f>
        <v>2.2912577319587628</v>
      </c>
      <c r="DY20" s="118">
        <f t="shared" si="39"/>
        <v>2.196343642611684</v>
      </c>
      <c r="DZ20" s="118">
        <f t="shared" si="39"/>
        <v>2.4060293862517184</v>
      </c>
      <c r="EA20" s="118">
        <f t="shared" si="39"/>
        <v>1.3533603800779372</v>
      </c>
      <c r="EB20" s="118"/>
      <c r="EC20" s="118">
        <f t="shared" si="33"/>
        <v>1.9276323024054982</v>
      </c>
      <c r="ED20" s="118">
        <f t="shared" si="33"/>
        <v>2.1431477663230241</v>
      </c>
      <c r="EE20" s="118">
        <f t="shared" si="33"/>
        <v>2.8281926116838489</v>
      </c>
      <c r="EF20" s="118">
        <f t="shared" si="33"/>
        <v>2.0590591302287002</v>
      </c>
      <c r="EG20" s="118"/>
      <c r="EH20" s="118">
        <f t="shared" si="7"/>
        <v>2.0590591302287002</v>
      </c>
      <c r="EI20" s="119" t="str">
        <f t="shared" ref="EI20:ET52" si="40">IFERROR(CD20/AR20,"")</f>
        <v/>
      </c>
      <c r="EJ20" s="119" t="str">
        <f t="shared" si="40"/>
        <v/>
      </c>
      <c r="EK20" s="119" t="str">
        <f t="shared" si="40"/>
        <v/>
      </c>
      <c r="EL20" s="119">
        <f t="shared" si="40"/>
        <v>0.12956759153883554</v>
      </c>
      <c r="EM20" s="119">
        <f t="shared" si="40"/>
        <v>0.11434076849569984</v>
      </c>
      <c r="EN20" s="119">
        <f t="shared" si="40"/>
        <v>0.1154292858774847</v>
      </c>
      <c r="EO20" s="119">
        <f t="shared" si="40"/>
        <v>0.11415889289066589</v>
      </c>
      <c r="EP20" s="119">
        <f t="shared" si="40"/>
        <v>0.13372743866460055</v>
      </c>
      <c r="EQ20" s="119">
        <f t="shared" si="40"/>
        <v>0.1674195753180972</v>
      </c>
      <c r="ER20" s="119">
        <f t="shared" si="40"/>
        <v>0.22652965903783279</v>
      </c>
      <c r="ES20" s="119">
        <f t="shared" si="40"/>
        <v>0.15838622879161621</v>
      </c>
      <c r="ET20" s="119">
        <f t="shared" si="40"/>
        <v>0.36916134181368515</v>
      </c>
      <c r="EU20" s="119"/>
      <c r="EV20" s="119">
        <f t="shared" si="20"/>
        <v>0.11829566436227254</v>
      </c>
      <c r="EW20" s="119">
        <f t="shared" si="20"/>
        <v>0.11425771357358079</v>
      </c>
      <c r="EX20" s="119">
        <f t="shared" si="20"/>
        <v>0.11888232621680443</v>
      </c>
      <c r="EY20" s="119">
        <f t="shared" si="20"/>
        <v>0.20629375269334649</v>
      </c>
      <c r="EZ20" s="119"/>
      <c r="FA20" s="119">
        <f t="shared" si="9"/>
        <v>0.20629375269334649</v>
      </c>
      <c r="FB20" s="130">
        <f t="shared" si="10"/>
        <v>465275</v>
      </c>
      <c r="FC20" s="131">
        <f>FB20/X20-1</f>
        <v>-0.61395335330185941</v>
      </c>
      <c r="FD20" s="132">
        <f t="shared" si="11"/>
        <v>134307</v>
      </c>
      <c r="FE20" s="133">
        <f>FD20/AN20-1</f>
        <v>-0.65696706238123448</v>
      </c>
      <c r="FF20" s="49">
        <f t="shared" si="12"/>
        <v>1431769</v>
      </c>
      <c r="FG20" s="50">
        <f t="shared" si="34"/>
        <v>-0.41507893702712073</v>
      </c>
      <c r="FH20" s="49">
        <f t="shared" si="13"/>
        <v>608174</v>
      </c>
      <c r="FI20" s="50">
        <f t="shared" si="35"/>
        <v>-0.26103158301590379</v>
      </c>
      <c r="FJ20" s="84">
        <f t="shared" si="14"/>
        <v>295365</v>
      </c>
      <c r="FK20" s="134">
        <f t="shared" si="15"/>
        <v>0.42477103499237656</v>
      </c>
      <c r="FL20" s="140">
        <f t="shared" si="16"/>
        <v>2.0590591302287002</v>
      </c>
      <c r="FM20" s="135">
        <f t="shared" si="17"/>
        <v>2.8281926116838489</v>
      </c>
      <c r="FN20" s="134">
        <f t="shared" si="18"/>
        <v>0.20629375269334649</v>
      </c>
      <c r="FO20" s="55" t="s">
        <v>40</v>
      </c>
      <c r="FP20" s="136" t="s">
        <v>66</v>
      </c>
      <c r="FQ20" s="137"/>
      <c r="FR20" s="137" t="s">
        <v>113</v>
      </c>
      <c r="FS20" s="138"/>
      <c r="FT20" s="12" t="s">
        <v>257</v>
      </c>
      <c r="FU20" s="12" t="s">
        <v>258</v>
      </c>
      <c r="FX20" s="59" t="s">
        <v>259</v>
      </c>
    </row>
    <row r="21" spans="1:180" x14ac:dyDescent="0.25">
      <c r="A21" s="36" t="s">
        <v>287</v>
      </c>
      <c r="B21" s="37" t="s">
        <v>256</v>
      </c>
      <c r="C21" s="37" t="str">
        <f>INDEX('[1]Property Summary'!A:A,MATCH($A21,'[1]Property Summary'!$AC:$AC,FALSE))</f>
        <v>725 W Round Grove Rd</v>
      </c>
      <c r="D21" s="37" t="str">
        <f>INDEX('[1]Property Summary'!B:B,MATCH($A21,'[1]Property Summary'!$AC:$AC,FALSE))</f>
        <v>Lewisville</v>
      </c>
      <c r="E21" s="37" t="str">
        <f>INDEX('[1]Property Summary'!C:C,MATCH($A21,'[1]Property Summary'!$AC:$AC,FALSE))</f>
        <v>TX</v>
      </c>
      <c r="F21" s="37">
        <f>INDEX('[1]Property Summary'!D:D,MATCH($A21,'[1]Property Summary'!$AC:$AC,FALSE))</f>
        <v>75067</v>
      </c>
      <c r="G21" s="37" t="str">
        <f>INDEX('[1]Property Summary'!E:E,MATCH($A21,'[1]Property Summary'!$AC:$AC,FALSE))</f>
        <v>Phillips 66</v>
      </c>
      <c r="H21" s="37" t="str">
        <f>INDEX('[1]Property Summary'!F:F,MATCH($A21,'[1]Property Summary'!$AC:$AC,FALSE))</f>
        <v>Pinnacle Oil &amp; Gas Holdings, Inc.</v>
      </c>
      <c r="I21" s="83" t="str">
        <f>INDEX('[1]Property Summary'!H:H,MATCH($A21,'[1]Property Summary'!$AC:$AC,FALSE))</f>
        <v>Convenience Stores</v>
      </c>
      <c r="M21" s="39">
        <f>W21-1863270</f>
        <v>587011</v>
      </c>
      <c r="N21" s="39">
        <v>645774</v>
      </c>
      <c r="O21" s="39">
        <f>1304786-N21</f>
        <v>659012</v>
      </c>
      <c r="P21" s="39">
        <v>270406</v>
      </c>
      <c r="Q21" s="39">
        <v>270269</v>
      </c>
      <c r="R21" s="39">
        <v>295147</v>
      </c>
      <c r="S21" s="39">
        <v>346400</v>
      </c>
      <c r="T21" s="39">
        <v>323766</v>
      </c>
      <c r="U21" s="39">
        <v>340125</v>
      </c>
      <c r="V21" s="39">
        <v>2446800</v>
      </c>
      <c r="W21" s="39">
        <v>2450281</v>
      </c>
      <c r="X21" s="39">
        <f>SUM(N21:Q21)</f>
        <v>1845461</v>
      </c>
      <c r="Y21" s="39">
        <f>SUM(R21:U21)</f>
        <v>1305438</v>
      </c>
      <c r="Z21" s="39">
        <f>SUM(R21:U21)</f>
        <v>1305438</v>
      </c>
      <c r="AD21" s="117">
        <f>AN21-869148</f>
        <v>261396</v>
      </c>
      <c r="AG21" s="117">
        <v>122916</v>
      </c>
      <c r="AH21" s="117">
        <v>123954</v>
      </c>
      <c r="AI21" s="117">
        <v>115966</v>
      </c>
      <c r="AJ21" s="117">
        <v>127325</v>
      </c>
      <c r="AK21" s="117">
        <v>121429</v>
      </c>
      <c r="AL21" s="117">
        <v>144463</v>
      </c>
      <c r="AM21" s="117">
        <v>1015320</v>
      </c>
      <c r="AN21" s="117">
        <v>1130544</v>
      </c>
      <c r="AP21" s="117">
        <f>SUM(AI21:AL21)</f>
        <v>509183</v>
      </c>
      <c r="AQ21" s="117">
        <f>SUM(AI21:AL21)</f>
        <v>509183</v>
      </c>
      <c r="AR21" s="129"/>
      <c r="AU21" s="39">
        <f>6115530-4775893</f>
        <v>1339637</v>
      </c>
      <c r="AV21" s="39">
        <v>1585499</v>
      </c>
      <c r="AW21" s="39">
        <f>3169531-AV21</f>
        <v>1584032</v>
      </c>
      <c r="AX21" s="39">
        <v>930201.09000000008</v>
      </c>
      <c r="AY21" s="39">
        <v>722248</v>
      </c>
      <c r="AZ21" s="39">
        <v>1007212</v>
      </c>
      <c r="BA21" s="39">
        <v>1009463</v>
      </c>
      <c r="BB21" s="39">
        <v>1017732</v>
      </c>
      <c r="BC21" s="39">
        <v>1002733</v>
      </c>
      <c r="BE21" s="39">
        <v>6289584</v>
      </c>
      <c r="BF21" s="39">
        <v>6115530</v>
      </c>
      <c r="BG21" s="39">
        <f t="shared" si="27"/>
        <v>4821980.09</v>
      </c>
      <c r="BH21" s="39">
        <f t="shared" si="36"/>
        <v>4037140</v>
      </c>
      <c r="BJ21" s="39">
        <f t="shared" si="37"/>
        <v>4037140</v>
      </c>
      <c r="BN21" s="39">
        <f>1582705-1216260</f>
        <v>366445</v>
      </c>
      <c r="BO21" s="39">
        <v>419325</v>
      </c>
      <c r="BP21" s="39">
        <f>809660-BO21</f>
        <v>390335</v>
      </c>
      <c r="BQ21" s="39">
        <v>372762.57000000007</v>
      </c>
      <c r="BR21" s="39">
        <v>397891</v>
      </c>
      <c r="BT21" s="39">
        <v>355430</v>
      </c>
      <c r="BU21" s="39">
        <v>379295</v>
      </c>
      <c r="BV21" s="39">
        <v>325979</v>
      </c>
      <c r="BW21" s="39">
        <v>228111</v>
      </c>
      <c r="BX21" s="39">
        <v>1551087</v>
      </c>
      <c r="BY21" s="39">
        <v>1582705</v>
      </c>
      <c r="BZ21" s="39">
        <f t="shared" si="28"/>
        <v>1580313.57</v>
      </c>
      <c r="CA21" s="39">
        <f>SUM(BT21:BW21)</f>
        <v>1288815</v>
      </c>
      <c r="CC21" s="39">
        <f>SUM(BT21:BW21)</f>
        <v>1288815</v>
      </c>
      <c r="CD21" s="39">
        <v>149250</v>
      </c>
      <c r="CE21" s="39">
        <v>149250</v>
      </c>
      <c r="CF21" s="39">
        <v>149250</v>
      </c>
      <c r="CG21" s="39">
        <v>149250</v>
      </c>
      <c r="CH21" s="39">
        <v>149250</v>
      </c>
      <c r="CI21" s="39">
        <v>149250</v>
      </c>
      <c r="CJ21" s="39">
        <v>149250</v>
      </c>
      <c r="CK21" s="39">
        <v>149250</v>
      </c>
      <c r="CL21" s="39">
        <v>149250</v>
      </c>
      <c r="CM21" s="39">
        <v>149250</v>
      </c>
      <c r="CN21" s="39">
        <v>153727</v>
      </c>
      <c r="CO21" s="39">
        <v>155712</v>
      </c>
      <c r="CQ21" s="39">
        <v>597000</v>
      </c>
      <c r="CR21" s="39">
        <f t="shared" si="29"/>
        <v>597000</v>
      </c>
      <c r="CS21" s="39">
        <f t="shared" si="30"/>
        <v>597000</v>
      </c>
      <c r="CT21" s="39">
        <f t="shared" si="31"/>
        <v>607939</v>
      </c>
      <c r="CV21" s="39">
        <f>SUM(CL21:CO21)</f>
        <v>607939</v>
      </c>
      <c r="CW21" s="119" t="str">
        <f t="shared" si="2"/>
        <v/>
      </c>
      <c r="CX21" s="119" t="str">
        <f t="shared" si="2"/>
        <v/>
      </c>
      <c r="CY21" s="119" t="str">
        <f t="shared" si="2"/>
        <v/>
      </c>
      <c r="CZ21" s="119">
        <f t="shared" si="2"/>
        <v>0.27354051881218566</v>
      </c>
      <c r="DA21" s="119">
        <f t="shared" si="2"/>
        <v>0.26447509585310364</v>
      </c>
      <c r="DB21" s="119">
        <f t="shared" si="2"/>
        <v>0.24641863295690997</v>
      </c>
      <c r="DC21" s="119">
        <f t="shared" si="2"/>
        <v>0.40073331885689367</v>
      </c>
      <c r="DD21" s="119">
        <f t="shared" si="2"/>
        <v>0.55090633688151436</v>
      </c>
      <c r="DE21" s="119">
        <f t="shared" si="38"/>
        <v>0.35288499342740159</v>
      </c>
      <c r="DF21" s="119">
        <f t="shared" si="38"/>
        <v>0.37573937826349257</v>
      </c>
      <c r="DG21" s="119">
        <f t="shared" si="38"/>
        <v>0.32029945014994127</v>
      </c>
      <c r="DH21" s="119">
        <f t="shared" si="38"/>
        <v>0.22748927182011563</v>
      </c>
      <c r="DI21" s="119"/>
      <c r="DJ21" s="119">
        <f t="shared" ref="DJ21:DM53" si="41">IFERROR(BX21/BE21,"")</f>
        <v>0.24661201758335685</v>
      </c>
      <c r="DK21" s="119">
        <f t="shared" si="41"/>
        <v>0.25880095429177846</v>
      </c>
      <c r="DL21" s="119">
        <f t="shared" si="41"/>
        <v>0.32773125158216904</v>
      </c>
      <c r="DM21" s="119">
        <f t="shared" si="41"/>
        <v>0.31923961021911551</v>
      </c>
      <c r="DN21" s="119"/>
      <c r="DO21" s="119">
        <f t="shared" si="4"/>
        <v>0.31923961021911551</v>
      </c>
      <c r="DP21" s="118" t="str">
        <f t="shared" si="32"/>
        <v/>
      </c>
      <c r="DQ21" s="118" t="str">
        <f t="shared" si="32"/>
        <v/>
      </c>
      <c r="DR21" s="118" t="str">
        <f t="shared" si="32"/>
        <v/>
      </c>
      <c r="DS21" s="118">
        <f t="shared" si="32"/>
        <v>2.4552428810720266</v>
      </c>
      <c r="DT21" s="118">
        <f t="shared" si="32"/>
        <v>2.8095477386934675</v>
      </c>
      <c r="DU21" s="118">
        <f t="shared" si="32"/>
        <v>2.6153098827470687</v>
      </c>
      <c r="DV21" s="118">
        <f t="shared" si="32"/>
        <v>2.4975716582914576</v>
      </c>
      <c r="DW21" s="118">
        <f t="shared" si="32"/>
        <v>2.6659363484087102</v>
      </c>
      <c r="DX21" s="118">
        <f t="shared" si="39"/>
        <v>2.3814405360134003</v>
      </c>
      <c r="DY21" s="118">
        <f t="shared" si="39"/>
        <v>2.5413400335008376</v>
      </c>
      <c r="DZ21" s="118">
        <f t="shared" si="39"/>
        <v>2.1205058317667032</v>
      </c>
      <c r="EA21" s="118">
        <f t="shared" si="39"/>
        <v>1.4649545314426633</v>
      </c>
      <c r="EB21" s="118"/>
      <c r="EC21" s="118">
        <f t="shared" si="33"/>
        <v>2.5981356783919596</v>
      </c>
      <c r="ED21" s="118">
        <f t="shared" si="33"/>
        <v>2.6510971524288105</v>
      </c>
      <c r="EE21" s="118">
        <f t="shared" si="33"/>
        <v>2.6470914070351759</v>
      </c>
      <c r="EF21" s="118">
        <f t="shared" si="33"/>
        <v>2.1199742079386255</v>
      </c>
      <c r="EG21" s="118"/>
      <c r="EH21" s="118">
        <f t="shared" si="7"/>
        <v>2.1199742079386255</v>
      </c>
      <c r="EI21" s="119" t="str">
        <f t="shared" si="40"/>
        <v/>
      </c>
      <c r="EJ21" s="119" t="str">
        <f t="shared" si="40"/>
        <v/>
      </c>
      <c r="EK21" s="119" t="str">
        <f t="shared" si="40"/>
        <v/>
      </c>
      <c r="EL21" s="119">
        <f t="shared" si="40"/>
        <v>0.11141077769574892</v>
      </c>
      <c r="EM21" s="119">
        <f t="shared" si="40"/>
        <v>9.4134401850773791E-2</v>
      </c>
      <c r="EN21" s="119">
        <f t="shared" si="40"/>
        <v>9.4221581382194303E-2</v>
      </c>
      <c r="EO21" s="119">
        <f t="shared" si="40"/>
        <v>0.16044917771489603</v>
      </c>
      <c r="EP21" s="119">
        <f t="shared" si="40"/>
        <v>0.20664647046443882</v>
      </c>
      <c r="EQ21" s="119">
        <f t="shared" si="40"/>
        <v>0.14818131634650897</v>
      </c>
      <c r="ER21" s="119">
        <f t="shared" si="40"/>
        <v>0.14785088705579105</v>
      </c>
      <c r="ES21" s="119">
        <f t="shared" si="40"/>
        <v>0.15104860611634496</v>
      </c>
      <c r="ET21" s="119">
        <f t="shared" si="40"/>
        <v>0.15528759899195499</v>
      </c>
      <c r="EU21" s="119"/>
      <c r="EV21" s="119">
        <f t="shared" ref="EV21:EY36" si="42">IFERROR(CQ21/BE21,"")</f>
        <v>9.491883723947403E-2</v>
      </c>
      <c r="EW21" s="119">
        <f t="shared" si="42"/>
        <v>9.7620320724450704E-2</v>
      </c>
      <c r="EX21" s="119">
        <f t="shared" si="42"/>
        <v>0.12380805993746856</v>
      </c>
      <c r="EY21" s="119"/>
      <c r="EZ21" s="119"/>
      <c r="FA21" s="119">
        <f t="shared" si="9"/>
        <v>0.15058655384752573</v>
      </c>
      <c r="FB21" s="130">
        <f t="shared" si="10"/>
        <v>1305438</v>
      </c>
      <c r="FC21" s="131">
        <f>FB21/X21-1</f>
        <v>-0.29262227703538579</v>
      </c>
      <c r="FD21" s="132">
        <f t="shared" si="11"/>
        <v>509183</v>
      </c>
      <c r="FE21" s="133">
        <f>FD21/AN21-1</f>
        <v>-0.54961239898668257</v>
      </c>
      <c r="FF21" s="49">
        <f t="shared" si="12"/>
        <v>4037140</v>
      </c>
      <c r="FG21" s="50">
        <f t="shared" si="34"/>
        <v>-0.16276302999003045</v>
      </c>
      <c r="FH21" s="49">
        <f t="shared" si="13"/>
        <v>1288815</v>
      </c>
      <c r="FI21" s="50">
        <f t="shared" si="35"/>
        <v>-0.18445615828003048</v>
      </c>
      <c r="FJ21" s="84">
        <f t="shared" si="14"/>
        <v>607939</v>
      </c>
      <c r="FK21" s="134">
        <f t="shared" si="15"/>
        <v>0.31923961021911551</v>
      </c>
      <c r="FL21" s="140">
        <f t="shared" si="16"/>
        <v>2.1199742079386255</v>
      </c>
      <c r="FM21" s="135">
        <f t="shared" si="17"/>
        <v>2.6470914070351759</v>
      </c>
      <c r="FN21" s="134">
        <f t="shared" si="18"/>
        <v>0.15058655384752573</v>
      </c>
      <c r="FO21" s="55" t="s">
        <v>40</v>
      </c>
      <c r="FP21" s="136" t="s">
        <v>66</v>
      </c>
      <c r="FQ21" s="137"/>
      <c r="FR21" s="137" t="s">
        <v>113</v>
      </c>
      <c r="FS21" s="138"/>
      <c r="FT21" s="12" t="s">
        <v>257</v>
      </c>
      <c r="FU21" s="12" t="s">
        <v>258</v>
      </c>
      <c r="FX21" s="59" t="s">
        <v>259</v>
      </c>
    </row>
    <row r="22" spans="1:180" x14ac:dyDescent="0.25">
      <c r="A22" s="36" t="s">
        <v>288</v>
      </c>
      <c r="B22" s="37" t="s">
        <v>289</v>
      </c>
      <c r="C22" s="37" t="str">
        <f>INDEX('[1]Property Summary'!A:A,MATCH($A22,'[1]Property Summary'!$AC:$AC,FALSE))</f>
        <v>18092 FM1314</v>
      </c>
      <c r="D22" s="37" t="str">
        <f>INDEX('[1]Property Summary'!B:B,MATCH($A22,'[1]Property Summary'!$AC:$AC,FALSE))</f>
        <v>Conroe</v>
      </c>
      <c r="E22" s="37" t="str">
        <f>INDEX('[1]Property Summary'!C:C,MATCH($A22,'[1]Property Summary'!$AC:$AC,FALSE))</f>
        <v>TX</v>
      </c>
      <c r="F22" s="37">
        <f>INDEX('[1]Property Summary'!D:D,MATCH($A22,'[1]Property Summary'!$AC:$AC,FALSE))</f>
        <v>77302</v>
      </c>
      <c r="G22" s="37" t="str">
        <f>INDEX('[1]Property Summary'!E:E,MATCH($A22,'[1]Property Summary'!$AC:$AC,FALSE))</f>
        <v>Valero</v>
      </c>
      <c r="H22" s="37" t="str">
        <f>INDEX('[1]Property Summary'!F:F,MATCH($A22,'[1]Property Summary'!$AC:$AC,FALSE))</f>
        <v>Pinnacle Oil &amp; Gas Holdings, Inc.</v>
      </c>
      <c r="I22" s="83" t="str">
        <f>INDEX('[1]Property Summary'!H:H,MATCH($A22,'[1]Property Summary'!$AC:$AC,FALSE))</f>
        <v>Convenience Stores</v>
      </c>
      <c r="Q22" s="39">
        <v>185728</v>
      </c>
      <c r="R22" s="39">
        <v>121686</v>
      </c>
      <c r="S22" s="39">
        <v>199658</v>
      </c>
      <c r="T22" s="39">
        <v>243492</v>
      </c>
      <c r="U22" s="39">
        <v>102506</v>
      </c>
      <c r="V22" s="39">
        <v>1682910</v>
      </c>
      <c r="W22" s="39">
        <v>1688234</v>
      </c>
      <c r="Y22" s="39">
        <f>SUM(R22:U22)</f>
        <v>667342</v>
      </c>
      <c r="Z22" s="39">
        <f>SUM(R22:U22)</f>
        <v>667342</v>
      </c>
      <c r="AH22" s="117">
        <v>95462</v>
      </c>
      <c r="AI22" s="117">
        <v>33966</v>
      </c>
      <c r="AJ22" s="117">
        <v>37062</v>
      </c>
      <c r="AK22" s="117">
        <v>30575</v>
      </c>
      <c r="AL22" s="117">
        <v>16869</v>
      </c>
      <c r="AM22" s="117">
        <v>435306</v>
      </c>
      <c r="AN22" s="117">
        <v>455228</v>
      </c>
      <c r="AP22" s="117">
        <f>SUM(AI22:AL22)</f>
        <v>118472</v>
      </c>
      <c r="AQ22" s="117">
        <f>SUM(AI22:AL22)</f>
        <v>118472</v>
      </c>
      <c r="AR22" s="129"/>
      <c r="AY22" s="39">
        <v>536620</v>
      </c>
      <c r="AZ22" s="39">
        <v>410999</v>
      </c>
      <c r="BA22" s="39">
        <v>492608</v>
      </c>
      <c r="BB22" s="39">
        <v>567295</v>
      </c>
      <c r="BC22" s="39">
        <v>317556</v>
      </c>
      <c r="BE22" s="39">
        <v>3126378</v>
      </c>
      <c r="BF22" s="39">
        <v>3137577</v>
      </c>
      <c r="BH22" s="39">
        <f t="shared" si="36"/>
        <v>1788458</v>
      </c>
      <c r="BJ22" s="39">
        <f t="shared" si="37"/>
        <v>1788458</v>
      </c>
      <c r="BR22" s="39">
        <v>319842</v>
      </c>
      <c r="BT22" s="39">
        <v>190015</v>
      </c>
      <c r="BU22" s="39">
        <v>256624</v>
      </c>
      <c r="BV22" s="39">
        <v>245575</v>
      </c>
      <c r="BW22" s="39">
        <v>151766</v>
      </c>
      <c r="BX22" s="39">
        <v>885934</v>
      </c>
      <c r="BY22" s="39">
        <f>776605+124655</f>
        <v>901260</v>
      </c>
      <c r="CA22" s="39">
        <f>SUM(BT22:BW22)</f>
        <v>843980</v>
      </c>
      <c r="CC22" s="39">
        <f>SUM(BT22:BW22)</f>
        <v>843980</v>
      </c>
      <c r="CD22" s="39">
        <v>95000.01</v>
      </c>
      <c r="CE22" s="39">
        <v>95000.01</v>
      </c>
      <c r="CF22" s="39">
        <v>95000.01</v>
      </c>
      <c r="CG22" s="39">
        <v>95000.01</v>
      </c>
      <c r="CH22" s="39">
        <v>95000.01</v>
      </c>
      <c r="CI22" s="39">
        <v>95000.01</v>
      </c>
      <c r="CJ22" s="39">
        <v>95000.01</v>
      </c>
      <c r="CK22" s="39">
        <v>95000.01</v>
      </c>
      <c r="CL22" s="39">
        <v>95000.01</v>
      </c>
      <c r="CM22" s="39">
        <v>95000.01</v>
      </c>
      <c r="CN22" s="39">
        <v>95950</v>
      </c>
      <c r="CO22" s="39">
        <v>98315</v>
      </c>
      <c r="CQ22" s="39">
        <v>380000.04</v>
      </c>
      <c r="CR22" s="39">
        <f t="shared" si="29"/>
        <v>380000.04</v>
      </c>
      <c r="CS22" s="39">
        <f t="shared" si="30"/>
        <v>380000.04</v>
      </c>
      <c r="CT22" s="39">
        <f t="shared" si="31"/>
        <v>384265.02</v>
      </c>
      <c r="CV22" s="39">
        <f>SUM(CL22:CO22)</f>
        <v>384265.02</v>
      </c>
      <c r="CW22" s="119" t="str">
        <f t="shared" si="2"/>
        <v/>
      </c>
      <c r="CX22" s="119" t="str">
        <f t="shared" si="2"/>
        <v/>
      </c>
      <c r="CY22" s="119" t="str">
        <f t="shared" si="2"/>
        <v/>
      </c>
      <c r="CZ22" s="119" t="str">
        <f t="shared" si="2"/>
        <v/>
      </c>
      <c r="DA22" s="119" t="str">
        <f t="shared" si="2"/>
        <v/>
      </c>
      <c r="DB22" s="119" t="str">
        <f t="shared" si="2"/>
        <v/>
      </c>
      <c r="DC22" s="119" t="str">
        <f t="shared" si="2"/>
        <v/>
      </c>
      <c r="DD22" s="119">
        <f t="shared" si="2"/>
        <v>0.59603071074503378</v>
      </c>
      <c r="DE22" s="119">
        <f t="shared" si="38"/>
        <v>0.4623247258509145</v>
      </c>
      <c r="DF22" s="119">
        <f t="shared" si="38"/>
        <v>0.52094972067039103</v>
      </c>
      <c r="DG22" s="119">
        <f t="shared" si="38"/>
        <v>0.43288765104575222</v>
      </c>
      <c r="DH22" s="119">
        <f t="shared" si="38"/>
        <v>0.47791885525702554</v>
      </c>
      <c r="DI22" s="119"/>
      <c r="DJ22" s="119">
        <f t="shared" si="41"/>
        <v>0.28337392343472223</v>
      </c>
      <c r="DK22" s="119">
        <f t="shared" si="41"/>
        <v>0.28724713369584237</v>
      </c>
      <c r="DL22" s="119" t="str">
        <f t="shared" si="41"/>
        <v/>
      </c>
      <c r="DM22" s="119"/>
      <c r="DN22" s="119"/>
      <c r="DO22" s="119">
        <f t="shared" si="4"/>
        <v>0.47190372935791614</v>
      </c>
      <c r="DP22" s="118" t="str">
        <f t="shared" si="32"/>
        <v/>
      </c>
      <c r="DQ22" s="118" t="str">
        <f t="shared" si="32"/>
        <v/>
      </c>
      <c r="DR22" s="118" t="str">
        <f t="shared" si="32"/>
        <v/>
      </c>
      <c r="DS22" s="118" t="str">
        <f t="shared" si="32"/>
        <v/>
      </c>
      <c r="DT22" s="118" t="str">
        <f t="shared" si="32"/>
        <v/>
      </c>
      <c r="DU22" s="118" t="str">
        <f t="shared" si="32"/>
        <v/>
      </c>
      <c r="DV22" s="118" t="str">
        <f t="shared" si="32"/>
        <v/>
      </c>
      <c r="DW22" s="118">
        <f t="shared" si="32"/>
        <v>3.3667575403413119</v>
      </c>
      <c r="DX22" s="118">
        <f t="shared" si="39"/>
        <v>2.0001576841939279</v>
      </c>
      <c r="DY22" s="118">
        <f t="shared" si="39"/>
        <v>2.7013049788100023</v>
      </c>
      <c r="DZ22" s="118">
        <f t="shared" si="39"/>
        <v>2.5594059405940595</v>
      </c>
      <c r="EA22" s="118">
        <f t="shared" si="39"/>
        <v>1.5436708538880131</v>
      </c>
      <c r="EB22" s="118"/>
      <c r="EC22" s="118">
        <f t="shared" si="33"/>
        <v>2.3314050177468402</v>
      </c>
      <c r="ED22" s="118">
        <f t="shared" si="33"/>
        <v>2.3717365924487797</v>
      </c>
      <c r="EE22" s="118" t="str">
        <f t="shared" si="33"/>
        <v/>
      </c>
      <c r="EF22" s="118">
        <f t="shared" si="33"/>
        <v>2.1963487595097777</v>
      </c>
      <c r="EG22" s="118"/>
      <c r="EH22" s="118">
        <f t="shared" si="7"/>
        <v>2.1963487595097777</v>
      </c>
      <c r="EI22" s="119" t="str">
        <f t="shared" si="40"/>
        <v/>
      </c>
      <c r="EJ22" s="119" t="str">
        <f t="shared" si="40"/>
        <v/>
      </c>
      <c r="EK22" s="119" t="str">
        <f t="shared" si="40"/>
        <v/>
      </c>
      <c r="EL22" s="119" t="str">
        <f t="shared" si="40"/>
        <v/>
      </c>
      <c r="EM22" s="119" t="str">
        <f t="shared" si="40"/>
        <v/>
      </c>
      <c r="EN22" s="119" t="str">
        <f t="shared" si="40"/>
        <v/>
      </c>
      <c r="EO22" s="119" t="str">
        <f t="shared" si="40"/>
        <v/>
      </c>
      <c r="EP22" s="119">
        <f t="shared" si="40"/>
        <v>0.17703404643882076</v>
      </c>
      <c r="EQ22" s="119">
        <f t="shared" si="40"/>
        <v>0.23114413903683462</v>
      </c>
      <c r="ER22" s="119">
        <f t="shared" si="40"/>
        <v>0.19285113112251526</v>
      </c>
      <c r="ES22" s="119">
        <f t="shared" si="40"/>
        <v>0.16913598744921074</v>
      </c>
      <c r="ET22" s="119">
        <f t="shared" si="40"/>
        <v>0.30959893688042422</v>
      </c>
      <c r="EU22" s="119"/>
      <c r="EV22" s="119">
        <f t="shared" si="42"/>
        <v>0.12154641569253621</v>
      </c>
      <c r="EW22" s="119">
        <f t="shared" si="42"/>
        <v>0.12111257827297943</v>
      </c>
      <c r="EX22" s="119" t="str">
        <f t="shared" si="42"/>
        <v/>
      </c>
      <c r="EY22" s="119"/>
      <c r="EZ22" s="119"/>
      <c r="FA22" s="119">
        <f t="shared" si="9"/>
        <v>0.21485828574112448</v>
      </c>
      <c r="FB22" s="130">
        <f t="shared" si="10"/>
        <v>667342</v>
      </c>
      <c r="FC22" s="131">
        <f>FB22/W22-1</f>
        <v>-0.60471001057910212</v>
      </c>
      <c r="FD22" s="132">
        <f t="shared" si="11"/>
        <v>118472</v>
      </c>
      <c r="FE22" s="133">
        <f>FD22/AN22-1</f>
        <v>-0.73975238781445785</v>
      </c>
      <c r="FF22" s="49">
        <f t="shared" si="12"/>
        <v>1788458</v>
      </c>
      <c r="FG22" s="50">
        <f>FF22/BF22-1</f>
        <v>-0.42998753496726938</v>
      </c>
      <c r="FH22" s="49">
        <f t="shared" si="13"/>
        <v>843980</v>
      </c>
      <c r="FI22" s="50">
        <f>FH22/BY22-1</f>
        <v>-6.3555466790937154E-2</v>
      </c>
      <c r="FJ22" s="84">
        <f t="shared" si="14"/>
        <v>384265.02</v>
      </c>
      <c r="FK22" s="134">
        <f t="shared" si="15"/>
        <v>0.47190372935791614</v>
      </c>
      <c r="FL22" s="140">
        <f t="shared" si="16"/>
        <v>2.1963487595097777</v>
      </c>
      <c r="FM22" s="135">
        <f>ED22</f>
        <v>2.3717365924487797</v>
      </c>
      <c r="FN22" s="134">
        <f t="shared" si="18"/>
        <v>0.21485828574112448</v>
      </c>
      <c r="FO22" s="55" t="s">
        <v>40</v>
      </c>
      <c r="FP22" s="136" t="s">
        <v>66</v>
      </c>
      <c r="FQ22" s="137"/>
      <c r="FR22" s="137" t="s">
        <v>113</v>
      </c>
      <c r="FS22" s="138"/>
      <c r="FT22" s="12" t="s">
        <v>257</v>
      </c>
      <c r="FU22" s="12" t="s">
        <v>258</v>
      </c>
      <c r="FX22" s="59" t="s">
        <v>290</v>
      </c>
    </row>
    <row r="23" spans="1:180" x14ac:dyDescent="0.25">
      <c r="A23" s="36" t="s">
        <v>291</v>
      </c>
      <c r="B23" s="37" t="s">
        <v>246</v>
      </c>
      <c r="C23" s="37" t="str">
        <f>INDEX('[1]Property Summary'!A:A,MATCH($A23,'[1]Property Summary'!$AC:$AC,FALSE))</f>
        <v>765 Indeneer Drive</v>
      </c>
      <c r="D23" s="37" t="str">
        <f>INDEX('[1]Property Summary'!B:B,MATCH($A23,'[1]Property Summary'!$AC:$AC,FALSE))</f>
        <v>Kernersville</v>
      </c>
      <c r="E23" s="37" t="str">
        <f>INDEX('[1]Property Summary'!C:C,MATCH($A23,'[1]Property Summary'!$AC:$AC,FALSE))</f>
        <v>NC</v>
      </c>
      <c r="F23" s="37">
        <f>INDEX('[1]Property Summary'!D:D,MATCH($A23,'[1]Property Summary'!$AC:$AC,FALSE))</f>
        <v>27284</v>
      </c>
      <c r="G23" s="37" t="str">
        <f>INDEX('[1]Property Summary'!E:E,MATCH($A23,'[1]Property Summary'!$AC:$AC,FALSE))</f>
        <v>GPM</v>
      </c>
      <c r="H23" s="37" t="str">
        <f>INDEX('[1]Property Summary'!F:F,MATCH($A23,'[1]Property Summary'!$AC:$AC,FALSE))</f>
        <v>GPM Empire, LLC</v>
      </c>
      <c r="I23" s="83" t="str">
        <f>INDEX('[1]Property Summary'!H:H,MATCH($A23,'[1]Property Summary'!$AC:$AC,FALSE))</f>
        <v>Convenience Stores</v>
      </c>
      <c r="AA23" s="117">
        <v>131119</v>
      </c>
      <c r="AB23" s="117">
        <v>124557</v>
      </c>
      <c r="AC23" s="117">
        <v>130634</v>
      </c>
      <c r="AD23" s="117">
        <v>125011</v>
      </c>
      <c r="AE23" s="117">
        <v>124247</v>
      </c>
      <c r="AF23" s="117">
        <v>116434</v>
      </c>
      <c r="AG23" s="117">
        <v>98496</v>
      </c>
      <c r="AH23" s="117">
        <v>101462</v>
      </c>
      <c r="AI23" s="117">
        <v>89690</v>
      </c>
      <c r="AJ23" s="117">
        <v>92576</v>
      </c>
      <c r="AK23" s="117">
        <v>91460</v>
      </c>
      <c r="AL23" s="117">
        <v>85610</v>
      </c>
      <c r="AM23" s="117">
        <v>225858</v>
      </c>
      <c r="AN23" s="117">
        <v>511321</v>
      </c>
      <c r="AO23" s="117">
        <f>SUM(AE23:AH23)</f>
        <v>440639</v>
      </c>
      <c r="AP23" s="117">
        <f>SUM(AI23:AL23)</f>
        <v>359336</v>
      </c>
      <c r="AQ23" s="117">
        <f>SUM(AI23:AL23)</f>
        <v>359336</v>
      </c>
      <c r="AR23" s="39">
        <v>55602</v>
      </c>
      <c r="AS23" s="39">
        <v>44196</v>
      </c>
      <c r="AT23" s="39">
        <v>50489</v>
      </c>
      <c r="AU23" s="39">
        <v>37924</v>
      </c>
      <c r="AV23" s="39">
        <v>48731</v>
      </c>
      <c r="AW23" s="39">
        <v>54028</v>
      </c>
      <c r="AX23" s="39">
        <v>38834</v>
      </c>
      <c r="AY23" s="39">
        <v>38820</v>
      </c>
      <c r="AZ23" s="39">
        <v>44312</v>
      </c>
      <c r="BA23" s="39">
        <v>49551</v>
      </c>
      <c r="BB23" s="39">
        <v>44041</v>
      </c>
      <c r="BC23" s="39">
        <v>47426</v>
      </c>
      <c r="BE23" s="39">
        <v>70993</v>
      </c>
      <c r="BF23" s="39">
        <v>188211</v>
      </c>
      <c r="BG23" s="39">
        <f>SUM(AV23:AY23)</f>
        <v>180413</v>
      </c>
      <c r="BH23" s="39">
        <f t="shared" si="36"/>
        <v>185330</v>
      </c>
      <c r="BJ23" s="39">
        <f t="shared" si="37"/>
        <v>185330</v>
      </c>
      <c r="BK23" s="39">
        <f>25444+15085</f>
        <v>40529</v>
      </c>
      <c r="BL23" s="39">
        <f>19987+15085</f>
        <v>35072</v>
      </c>
      <c r="BM23" s="39">
        <f>26762+15085</f>
        <v>41847</v>
      </c>
      <c r="BN23" s="39">
        <f>2575+15085</f>
        <v>17660</v>
      </c>
      <c r="BO23" s="39">
        <f>13710+14783</f>
        <v>28493</v>
      </c>
      <c r="BP23" s="39">
        <f>24696+14180</f>
        <v>38876</v>
      </c>
      <c r="BQ23" s="39">
        <f>17205+14180</f>
        <v>31385</v>
      </c>
      <c r="BR23" s="39">
        <f>12965+14180</f>
        <v>27145</v>
      </c>
      <c r="BT23" s="39">
        <f>17300+14180</f>
        <v>31480</v>
      </c>
      <c r="BU23" s="39">
        <f>18721+14180</f>
        <v>32901</v>
      </c>
      <c r="BV23" s="39">
        <f>18315+14180</f>
        <v>32495</v>
      </c>
      <c r="BW23" s="39">
        <f>24189+14180</f>
        <v>38369</v>
      </c>
      <c r="BX23" s="39">
        <f>30594+26764</f>
        <v>57358</v>
      </c>
      <c r="BY23" s="39">
        <f>74767+60340</f>
        <v>135107</v>
      </c>
      <c r="BZ23" s="39">
        <f>SUM(BO23:BR23)</f>
        <v>125899</v>
      </c>
      <c r="CA23" s="39">
        <f>SUM(BT23:BW23)</f>
        <v>135245</v>
      </c>
      <c r="CC23" s="39">
        <f>SUM(BT23:BW23)</f>
        <v>135245</v>
      </c>
      <c r="CD23" s="39">
        <v>15084.96</v>
      </c>
      <c r="CE23" s="39">
        <v>15084.96</v>
      </c>
      <c r="CF23" s="39">
        <v>15084.96</v>
      </c>
      <c r="CG23" s="39">
        <v>15084.96</v>
      </c>
      <c r="CH23" s="39">
        <v>14783.259999999998</v>
      </c>
      <c r="CI23" s="39">
        <v>14179.86</v>
      </c>
      <c r="CJ23" s="39">
        <v>14179.86</v>
      </c>
      <c r="CK23" s="39">
        <v>14179.86</v>
      </c>
      <c r="CL23" s="39">
        <v>14179.86</v>
      </c>
      <c r="CM23" s="39">
        <v>14179.86</v>
      </c>
      <c r="CN23" s="39">
        <v>14179.86</v>
      </c>
      <c r="CO23" s="39">
        <v>14180</v>
      </c>
      <c r="CQ23" s="39">
        <v>60339.839999999997</v>
      </c>
      <c r="CR23" s="39">
        <f t="shared" si="29"/>
        <v>60339.839999999997</v>
      </c>
      <c r="CS23" s="39">
        <f t="shared" si="30"/>
        <v>57322.84</v>
      </c>
      <c r="CT23" s="39">
        <f t="shared" si="31"/>
        <v>56719.58</v>
      </c>
      <c r="CV23" s="39">
        <f>SUM(CL23:CO23)</f>
        <v>56719.58</v>
      </c>
      <c r="CW23" s="43">
        <f t="shared" si="2"/>
        <v>0.72891262904212084</v>
      </c>
      <c r="CX23" s="43">
        <f t="shared" si="2"/>
        <v>0.79355597791655352</v>
      </c>
      <c r="CY23" s="43">
        <f t="shared" si="2"/>
        <v>0.82883400344629521</v>
      </c>
      <c r="CZ23" s="43">
        <f t="shared" si="2"/>
        <v>0.46566817846218755</v>
      </c>
      <c r="DA23" s="43">
        <f t="shared" si="2"/>
        <v>0.58469967782315158</v>
      </c>
      <c r="DB23" s="43">
        <f t="shared" si="2"/>
        <v>0.71955282446139035</v>
      </c>
      <c r="DC23" s="43">
        <f t="shared" si="2"/>
        <v>0.8081835504969872</v>
      </c>
      <c r="DD23" s="43">
        <f t="shared" si="2"/>
        <v>0.69925296239052037</v>
      </c>
      <c r="DE23" s="43">
        <f t="shared" si="38"/>
        <v>0.71041704278750673</v>
      </c>
      <c r="DF23" s="43">
        <f t="shared" si="38"/>
        <v>0.66398256341950712</v>
      </c>
      <c r="DG23" s="43">
        <f t="shared" si="38"/>
        <v>0.73783519901909589</v>
      </c>
      <c r="DH23" s="43">
        <f t="shared" si="38"/>
        <v>0.80902880276641509</v>
      </c>
      <c r="DI23" s="43"/>
      <c r="DJ23" s="43">
        <f t="shared" si="41"/>
        <v>0.80793881086867725</v>
      </c>
      <c r="DK23" s="43">
        <f t="shared" si="41"/>
        <v>0.71784858483297997</v>
      </c>
      <c r="DL23" s="43">
        <f t="shared" si="41"/>
        <v>0.69783773896559564</v>
      </c>
      <c r="DM23" s="43">
        <f>IFERROR(CA23/BH23,"")</f>
        <v>0.72975233367506609</v>
      </c>
      <c r="DN23" s="43"/>
      <c r="DO23" s="43">
        <f t="shared" si="4"/>
        <v>0.72975233367506609</v>
      </c>
      <c r="DP23" s="118">
        <f t="shared" si="32"/>
        <v>2.6867157751826989</v>
      </c>
      <c r="DQ23" s="118">
        <f t="shared" si="32"/>
        <v>2.3249647330851393</v>
      </c>
      <c r="DR23" s="118">
        <f t="shared" si="32"/>
        <v>2.7740875680147647</v>
      </c>
      <c r="DS23" s="118">
        <f t="shared" si="32"/>
        <v>1.1707024745176653</v>
      </c>
      <c r="DT23" s="118">
        <f t="shared" si="32"/>
        <v>1.9273827288433001</v>
      </c>
      <c r="DU23" s="118">
        <f t="shared" si="32"/>
        <v>2.7416349667768229</v>
      </c>
      <c r="DV23" s="118">
        <f t="shared" si="32"/>
        <v>2.2133504844194514</v>
      </c>
      <c r="DW23" s="118">
        <f t="shared" si="32"/>
        <v>1.9143348382847221</v>
      </c>
      <c r="DX23" s="118">
        <f t="shared" si="39"/>
        <v>2.2200501274342623</v>
      </c>
      <c r="DY23" s="118">
        <f t="shared" si="39"/>
        <v>2.320262682424227</v>
      </c>
      <c r="DZ23" s="118">
        <f t="shared" si="39"/>
        <v>2.2916305238556656</v>
      </c>
      <c r="EA23" s="118">
        <f t="shared" si="39"/>
        <v>2.7058533145275034</v>
      </c>
      <c r="EB23" s="118"/>
      <c r="EC23" s="118">
        <f t="shared" si="33"/>
        <v>0.95058256700713828</v>
      </c>
      <c r="ED23" s="118">
        <f t="shared" si="33"/>
        <v>2.23910106490173</v>
      </c>
      <c r="EE23" s="118">
        <f t="shared" si="33"/>
        <v>2.1963147673771921</v>
      </c>
      <c r="EF23" s="118">
        <f t="shared" si="33"/>
        <v>2.3844499553769616</v>
      </c>
      <c r="EG23" s="118"/>
      <c r="EH23" s="118">
        <f t="shared" si="7"/>
        <v>2.3844499553769616</v>
      </c>
      <c r="EI23" s="43">
        <f t="shared" si="40"/>
        <v>0.27130247113413186</v>
      </c>
      <c r="EJ23" s="43">
        <f t="shared" si="40"/>
        <v>0.3413195764322563</v>
      </c>
      <c r="EK23" s="43">
        <f t="shared" si="40"/>
        <v>0.29877715938125132</v>
      </c>
      <c r="EL23" s="43">
        <f t="shared" si="40"/>
        <v>0.39776816791477693</v>
      </c>
      <c r="EM23" s="43">
        <f t="shared" si="40"/>
        <v>0.30336459337998395</v>
      </c>
      <c r="EN23" s="43">
        <f t="shared" si="40"/>
        <v>0.26245391278596286</v>
      </c>
      <c r="EO23" s="43">
        <f t="shared" si="40"/>
        <v>0.36514034093835301</v>
      </c>
      <c r="EP23" s="43">
        <f t="shared" si="40"/>
        <v>0.36527202472952086</v>
      </c>
      <c r="EQ23" s="43">
        <f t="shared" si="40"/>
        <v>0.32000045134500815</v>
      </c>
      <c r="ER23" s="43">
        <f t="shared" si="40"/>
        <v>0.2861669794756917</v>
      </c>
      <c r="ES23" s="43">
        <f t="shared" si="40"/>
        <v>0.32196952839399651</v>
      </c>
      <c r="ET23" s="43">
        <f t="shared" si="40"/>
        <v>0.29899211403027875</v>
      </c>
      <c r="EU23" s="43"/>
      <c r="EV23" s="43">
        <f t="shared" si="42"/>
        <v>0.84994069837871333</v>
      </c>
      <c r="EW23" s="43">
        <f t="shared" si="42"/>
        <v>0.32059677702153433</v>
      </c>
      <c r="EX23" s="43">
        <f t="shared" si="42"/>
        <v>0.31773120562265467</v>
      </c>
      <c r="EY23" s="43">
        <f>IFERROR(CT23/BH23,"")</f>
        <v>0.30604640371229697</v>
      </c>
      <c r="EZ23" s="43"/>
      <c r="FA23" s="43">
        <f t="shared" si="9"/>
        <v>0.30604640371229697</v>
      </c>
      <c r="FB23" s="120" t="str">
        <f t="shared" si="10"/>
        <v/>
      </c>
      <c r="FC23" s="52"/>
      <c r="FD23" s="122">
        <f t="shared" si="11"/>
        <v>359336</v>
      </c>
      <c r="FE23" s="66">
        <f>FD23/AO23-1</f>
        <v>-0.18451158431278214</v>
      </c>
      <c r="FF23" s="49">
        <f t="shared" si="12"/>
        <v>185330</v>
      </c>
      <c r="FG23" s="50">
        <f>FF23/BG23-1</f>
        <v>2.7254133571305905E-2</v>
      </c>
      <c r="FH23" s="49">
        <f t="shared" si="13"/>
        <v>135245</v>
      </c>
      <c r="FI23" s="50">
        <f>FH23/BZ23-1</f>
        <v>7.4234108293155687E-2</v>
      </c>
      <c r="FJ23" s="84">
        <f t="shared" si="14"/>
        <v>56719.58</v>
      </c>
      <c r="FK23" s="51">
        <f t="shared" si="15"/>
        <v>0.72975233367506609</v>
      </c>
      <c r="FL23" s="140">
        <f t="shared" si="16"/>
        <v>2.3844499553769616</v>
      </c>
      <c r="FM23" s="54">
        <f>EE23</f>
        <v>2.1963147673771921</v>
      </c>
      <c r="FN23" s="51">
        <f t="shared" si="18"/>
        <v>0.30604640371229697</v>
      </c>
      <c r="FO23" s="55" t="s">
        <v>40</v>
      </c>
      <c r="FP23" s="124" t="s">
        <v>66</v>
      </c>
      <c r="FR23" s="125" t="s">
        <v>113</v>
      </c>
      <c r="FS23" s="126" t="s">
        <v>113</v>
      </c>
      <c r="FT23" s="12" t="s">
        <v>249</v>
      </c>
      <c r="FU23" s="12" t="s">
        <v>292</v>
      </c>
      <c r="FX23" s="59" t="s">
        <v>252</v>
      </c>
    </row>
    <row r="24" spans="1:180" x14ac:dyDescent="0.25">
      <c r="A24" s="36" t="s">
        <v>293</v>
      </c>
      <c r="B24" s="37" t="s">
        <v>294</v>
      </c>
      <c r="C24" s="37" t="str">
        <f>INDEX('[1]Property Summary'!A:A,MATCH($A24,'[1]Property Summary'!$AC:$AC,FALSE))</f>
        <v>950 Evernia St</v>
      </c>
      <c r="D24" s="37" t="str">
        <f>INDEX('[1]Property Summary'!B:B,MATCH($A24,'[1]Property Summary'!$AC:$AC,FALSE))</f>
        <v>West Palm Beach</v>
      </c>
      <c r="E24" s="37" t="str">
        <f>INDEX('[1]Property Summary'!C:C,MATCH($A24,'[1]Property Summary'!$AC:$AC,FALSE))</f>
        <v>FL</v>
      </c>
      <c r="F24" s="37">
        <f>INDEX('[1]Property Summary'!D:D,MATCH($A24,'[1]Property Summary'!$AC:$AC,FALSE))</f>
        <v>33401</v>
      </c>
      <c r="G24" s="37" t="str">
        <f>INDEX('[1]Property Summary'!E:E,MATCH($A24,'[1]Property Summary'!$AC:$AC,FALSE))</f>
        <v>Aria</v>
      </c>
      <c r="H24" s="37" t="str">
        <f>INDEX('[1]Property Summary'!F:F,MATCH($A24,'[1]Property Summary'!$AC:$AC,FALSE))</f>
        <v>Ethema Health Corporation</v>
      </c>
      <c r="I24" s="83" t="str">
        <f>INDEX('[1]Property Summary'!H:H,MATCH($A24,'[1]Property Summary'!$AC:$AC,FALSE))</f>
        <v>Health Care</v>
      </c>
      <c r="AV24" s="39">
        <v>1300100</v>
      </c>
      <c r="AW24" s="39">
        <v>1490100</v>
      </c>
      <c r="AX24" s="39">
        <v>2235000</v>
      </c>
      <c r="AY24" s="39">
        <v>1540300</v>
      </c>
      <c r="AZ24" s="39">
        <v>1435692.98</v>
      </c>
      <c r="BA24" s="39">
        <v>2160000</v>
      </c>
      <c r="BB24" s="39">
        <v>2496457</v>
      </c>
      <c r="BC24" s="39">
        <v>2153402</v>
      </c>
      <c r="BE24" s="39">
        <v>4432371</v>
      </c>
      <c r="BF24" s="39">
        <v>5164454.1900000004</v>
      </c>
      <c r="BG24" s="39">
        <v>6090500</v>
      </c>
      <c r="BH24" s="39">
        <f t="shared" si="36"/>
        <v>8245551.9800000004</v>
      </c>
      <c r="BJ24" s="39">
        <f t="shared" si="37"/>
        <v>8245551.9800000004</v>
      </c>
      <c r="BO24" s="39">
        <f>20769+21711+88975+12000</f>
        <v>143455</v>
      </c>
      <c r="BP24" s="39">
        <f>154748+22591+92238+18000</f>
        <v>287577</v>
      </c>
      <c r="BQ24" s="39">
        <f>520722.5+40826+91892+2858+80224</f>
        <v>736522.5</v>
      </c>
      <c r="BR24" s="39">
        <f>187138+105335</f>
        <v>292473</v>
      </c>
      <c r="BT24" s="39">
        <f>-352498.61+113256.42+33033.19+258781.56+992.79</f>
        <v>53565.35</v>
      </c>
      <c r="BU24" s="39">
        <f>507044.76+111335.49+86260.52</f>
        <v>704640.77</v>
      </c>
      <c r="BV24" s="39">
        <f>393798+34999+113254+260596</f>
        <v>802647</v>
      </c>
      <c r="BW24" s="39">
        <f>14120+35025</f>
        <v>49145</v>
      </c>
      <c r="BX24" s="39">
        <f>873518+427482+57035</f>
        <v>1358035</v>
      </c>
      <c r="BY24" s="39">
        <f>-633498.49+81017+1520861+290901-100360</f>
        <v>1158920.51</v>
      </c>
      <c r="BZ24" s="39">
        <f>524087+77528+215559+273104.95+2858</f>
        <v>1093136.95</v>
      </c>
      <c r="CA24" s="39">
        <f>SUM(BT24:BW24)</f>
        <v>1609998.12</v>
      </c>
      <c r="CC24" s="39">
        <f>SUM(BR24:BV24)</f>
        <v>1853326.12</v>
      </c>
      <c r="CD24" s="39">
        <v>186999.99</v>
      </c>
      <c r="CE24" s="39">
        <v>186999.99</v>
      </c>
      <c r="CF24" s="39">
        <v>186999.99</v>
      </c>
      <c r="CG24" s="39">
        <v>186999.99</v>
      </c>
      <c r="CH24" s="39">
        <v>186999.99</v>
      </c>
      <c r="CI24" s="39">
        <v>186999.99</v>
      </c>
      <c r="CJ24" s="39">
        <v>188714.16</v>
      </c>
      <c r="CK24" s="39">
        <v>192142.5</v>
      </c>
      <c r="CL24" s="39">
        <v>192142.5</v>
      </c>
      <c r="CM24" s="39">
        <v>192142.5</v>
      </c>
      <c r="CN24" s="39">
        <v>193904</v>
      </c>
      <c r="CO24" s="39">
        <v>193904</v>
      </c>
      <c r="CQ24" s="39">
        <v>747999.96</v>
      </c>
      <c r="CR24" s="39">
        <f t="shared" si="29"/>
        <v>747999.96</v>
      </c>
      <c r="CS24" s="39">
        <f t="shared" si="30"/>
        <v>754856.64</v>
      </c>
      <c r="CT24" s="39">
        <f>SUM(CL24:CO24)</f>
        <v>772093</v>
      </c>
      <c r="CV24" s="39">
        <f>SUM(CK24:CN24)</f>
        <v>770331.5</v>
      </c>
      <c r="CW24" s="43" t="str">
        <f t="shared" si="2"/>
        <v/>
      </c>
      <c r="CX24" s="43" t="str">
        <f t="shared" si="2"/>
        <v/>
      </c>
      <c r="CY24" s="43" t="str">
        <f t="shared" si="2"/>
        <v/>
      </c>
      <c r="CZ24" s="43" t="str">
        <f t="shared" si="2"/>
        <v/>
      </c>
      <c r="DA24" s="43">
        <f t="shared" si="2"/>
        <v>0.11034151219136989</v>
      </c>
      <c r="DB24" s="43">
        <f t="shared" si="2"/>
        <v>0.19299174552043488</v>
      </c>
      <c r="DC24" s="43">
        <f t="shared" si="2"/>
        <v>0.32954026845637585</v>
      </c>
      <c r="DD24" s="43">
        <f t="shared" si="2"/>
        <v>0.18988054275141206</v>
      </c>
      <c r="DE24" s="43">
        <f t="shared" si="38"/>
        <v>3.7309752674279981E-2</v>
      </c>
      <c r="DF24" s="43">
        <f t="shared" si="38"/>
        <v>0.32622257870370369</v>
      </c>
      <c r="DG24" s="43">
        <f t="shared" si="38"/>
        <v>0.32151445027893533</v>
      </c>
      <c r="DH24" s="43">
        <f t="shared" si="38"/>
        <v>2.2822027656703207E-2</v>
      </c>
      <c r="DI24" s="43"/>
      <c r="DJ24" s="43">
        <f t="shared" si="41"/>
        <v>0.3063901916152777</v>
      </c>
      <c r="DK24" s="43">
        <f t="shared" si="41"/>
        <v>0.22440328975016038</v>
      </c>
      <c r="DL24" s="43">
        <f t="shared" si="41"/>
        <v>0.17948230030375173</v>
      </c>
      <c r="DM24" s="43">
        <f>IFERROR(CA24/BH24,"")</f>
        <v>0.1952565606165762</v>
      </c>
      <c r="DN24" s="43"/>
      <c r="DO24" s="43">
        <f t="shared" si="4"/>
        <v>0.22476677419478228</v>
      </c>
      <c r="DP24" s="118" t="str">
        <f t="shared" si="32"/>
        <v/>
      </c>
      <c r="DQ24" s="118" t="str">
        <f t="shared" si="32"/>
        <v/>
      </c>
      <c r="DR24" s="118" t="str">
        <f t="shared" si="32"/>
        <v/>
      </c>
      <c r="DS24" s="118" t="str">
        <f t="shared" si="32"/>
        <v/>
      </c>
      <c r="DT24" s="118">
        <f t="shared" si="32"/>
        <v>0.7671390784566352</v>
      </c>
      <c r="DU24" s="118">
        <f t="shared" si="32"/>
        <v>1.537845002023797</v>
      </c>
      <c r="DV24" s="118">
        <f t="shared" si="32"/>
        <v>3.9028470359616891</v>
      </c>
      <c r="DW24" s="118">
        <f t="shared" si="32"/>
        <v>1.5221671415746125</v>
      </c>
      <c r="DX24" s="118">
        <f t="shared" si="39"/>
        <v>0.27877929141132229</v>
      </c>
      <c r="DY24" s="118">
        <f t="shared" si="39"/>
        <v>3.6672821994092928</v>
      </c>
      <c r="DZ24" s="118">
        <f t="shared" si="39"/>
        <v>4.1394040349863852</v>
      </c>
      <c r="EA24" s="118">
        <f>IF(BW24/CO24=0,"",BW24/CO24)</f>
        <v>0.25345016090436506</v>
      </c>
      <c r="EB24" s="118"/>
      <c r="EC24" s="118">
        <f t="shared" si="33"/>
        <v>1.8155549099227226</v>
      </c>
      <c r="ED24" s="118">
        <f t="shared" si="33"/>
        <v>1.5493590534416608</v>
      </c>
      <c r="EE24" s="118">
        <f>IF(BZ24/CS24=0,"",BZ24/CS24)</f>
        <v>1.448138483619883</v>
      </c>
      <c r="EF24" s="118">
        <f>IF(CA24/CT24=0,"",CA24/CT24)</f>
        <v>2.0852385917240541</v>
      </c>
      <c r="EG24" s="118"/>
      <c r="EH24" s="118">
        <f t="shared" si="7"/>
        <v>2.4058812602107018</v>
      </c>
      <c r="EI24" s="43" t="str">
        <f t="shared" si="40"/>
        <v/>
      </c>
      <c r="EJ24" s="43" t="str">
        <f t="shared" si="40"/>
        <v/>
      </c>
      <c r="EK24" s="43" t="str">
        <f t="shared" si="40"/>
        <v/>
      </c>
      <c r="EL24" s="43" t="str">
        <f t="shared" si="40"/>
        <v/>
      </c>
      <c r="EM24" s="43">
        <f t="shared" si="40"/>
        <v>0.14383508191677563</v>
      </c>
      <c r="EN24" s="43">
        <f t="shared" si="40"/>
        <v>0.12549492651499899</v>
      </c>
      <c r="EO24" s="43">
        <f t="shared" si="40"/>
        <v>8.4435865771812085E-2</v>
      </c>
      <c r="EP24" s="43">
        <f t="shared" si="40"/>
        <v>0.1247435564500422</v>
      </c>
      <c r="EQ24" s="43">
        <f t="shared" si="40"/>
        <v>0.1338325830638247</v>
      </c>
      <c r="ER24" s="43">
        <f t="shared" si="40"/>
        <v>8.8954861111111116E-2</v>
      </c>
      <c r="ES24" s="43">
        <f t="shared" si="40"/>
        <v>7.7671676299651868E-2</v>
      </c>
      <c r="ET24" s="43">
        <f t="shared" si="40"/>
        <v>9.0045425796019513E-2</v>
      </c>
      <c r="EU24" s="43"/>
      <c r="EV24" s="43">
        <f t="shared" si="42"/>
        <v>0.16875842748722975</v>
      </c>
      <c r="EW24" s="43">
        <f t="shared" si="42"/>
        <v>0.14483620775422154</v>
      </c>
      <c r="EX24" s="43">
        <f t="shared" si="42"/>
        <v>0.12394001149330926</v>
      </c>
      <c r="EY24" s="43">
        <f>IFERROR(CT24/BH24,"")</f>
        <v>9.3637515338300004E-2</v>
      </c>
      <c r="EZ24" s="43"/>
      <c r="FA24" s="43">
        <f t="shared" si="9"/>
        <v>9.3423885007150237E-2</v>
      </c>
      <c r="FB24" s="120" t="str">
        <f t="shared" si="10"/>
        <v/>
      </c>
      <c r="FC24" s="52"/>
      <c r="FD24" s="122" t="str">
        <f t="shared" si="11"/>
        <v/>
      </c>
      <c r="FE24" s="122" t="str">
        <f>IF(IF(IF(AR24="",AP24,AR24)="",AO24,(IF(AR24="",AP24,AR24)))=0,"",(IF(IF(AR24="",AP24,AR24)="",AO24,(IF(AR24="",AP24,AR24)))))</f>
        <v/>
      </c>
      <c r="FF24" s="49">
        <f t="shared" si="12"/>
        <v>8245551.9800000004</v>
      </c>
      <c r="FG24" s="50">
        <f>FF24/BG24-1</f>
        <v>0.35383826943600694</v>
      </c>
      <c r="FH24" s="49">
        <f t="shared" si="13"/>
        <v>1853326.12</v>
      </c>
      <c r="FI24" s="50">
        <f>FH24/BZ24-1</f>
        <v>0.69541988311711544</v>
      </c>
      <c r="FJ24" s="84">
        <f t="shared" si="14"/>
        <v>770331.5</v>
      </c>
      <c r="FK24" s="51">
        <f t="shared" si="15"/>
        <v>0.22476677419478228</v>
      </c>
      <c r="FL24" s="140">
        <f t="shared" si="16"/>
        <v>2.4058812602107018</v>
      </c>
      <c r="FM24" s="54">
        <f>EE24</f>
        <v>1.448138483619883</v>
      </c>
      <c r="FN24" s="51">
        <f t="shared" si="18"/>
        <v>9.3423885007150237E-2</v>
      </c>
      <c r="FO24" s="55" t="s">
        <v>39</v>
      </c>
      <c r="FP24" s="124" t="s">
        <v>295</v>
      </c>
      <c r="FR24" s="125" t="s">
        <v>296</v>
      </c>
      <c r="FS24" s="126" t="s">
        <v>279</v>
      </c>
      <c r="FT24" s="12" t="s">
        <v>297</v>
      </c>
      <c r="FU24" s="12" t="s">
        <v>298</v>
      </c>
      <c r="FX24" s="59" t="s">
        <v>299</v>
      </c>
    </row>
    <row r="25" spans="1:180" x14ac:dyDescent="0.25">
      <c r="A25" s="36" t="s">
        <v>300</v>
      </c>
      <c r="B25" s="37" t="s">
        <v>256</v>
      </c>
      <c r="C25" s="37" t="str">
        <f>INDEX('[1]Property Summary'!A:A,MATCH($A25,'[1]Property Summary'!$AC:$AC,FALSE))</f>
        <v>811 Strickland Drive</v>
      </c>
      <c r="D25" s="37" t="str">
        <f>INDEX('[1]Property Summary'!B:B,MATCH($A25,'[1]Property Summary'!$AC:$AC,FALSE))</f>
        <v>Orange</v>
      </c>
      <c r="E25" s="37" t="str">
        <f>INDEX('[1]Property Summary'!C:C,MATCH($A25,'[1]Property Summary'!$AC:$AC,FALSE))</f>
        <v>TX</v>
      </c>
      <c r="F25" s="37">
        <f>INDEX('[1]Property Summary'!D:D,MATCH($A25,'[1]Property Summary'!$AC:$AC,FALSE))</f>
        <v>77630</v>
      </c>
      <c r="G25" s="37" t="str">
        <f>INDEX('[1]Property Summary'!E:E,MATCH($A25,'[1]Property Summary'!$AC:$AC,FALSE))</f>
        <v>Unbranded</v>
      </c>
      <c r="H25" s="37" t="str">
        <f>INDEX('[1]Property Summary'!F:F,MATCH($A25,'[1]Property Summary'!$AC:$AC,FALSE))</f>
        <v>Pinnacle Oil &amp; Gas Holdings, Inc.</v>
      </c>
      <c r="I25" s="83" t="str">
        <f>INDEX('[1]Property Summary'!H:H,MATCH($A25,'[1]Property Summary'!$AC:$AC,FALSE))</f>
        <v>Convenience Stores</v>
      </c>
      <c r="M25" s="39">
        <f>W25-1812385</f>
        <v>612124</v>
      </c>
      <c r="N25" s="39">
        <v>655471</v>
      </c>
      <c r="O25" s="39">
        <f>1312410-N25</f>
        <v>656939</v>
      </c>
      <c r="P25" s="39">
        <v>385694</v>
      </c>
      <c r="Q25" s="39">
        <v>400971</v>
      </c>
      <c r="R25" s="39">
        <v>387139</v>
      </c>
      <c r="S25" s="39">
        <v>455602</v>
      </c>
      <c r="T25" s="39">
        <v>449682</v>
      </c>
      <c r="U25" s="39">
        <v>482157</v>
      </c>
      <c r="V25" s="39">
        <v>2396327</v>
      </c>
      <c r="W25" s="39">
        <v>2424509</v>
      </c>
      <c r="X25" s="39">
        <f>SUM(N25:Q25)</f>
        <v>2099075</v>
      </c>
      <c r="Y25" s="39">
        <f>SUM(R25:U25)</f>
        <v>1774580</v>
      </c>
      <c r="Z25" s="39">
        <f>SUM(R25:U25)</f>
        <v>1774580</v>
      </c>
      <c r="AD25" s="117">
        <f>AN25-845749</f>
        <v>254147</v>
      </c>
      <c r="AG25" s="117">
        <v>154208</v>
      </c>
      <c r="AH25" s="117">
        <v>132753</v>
      </c>
      <c r="AI25" s="117">
        <v>61674</v>
      </c>
      <c r="AJ25" s="117">
        <v>64012</v>
      </c>
      <c r="AK25" s="117">
        <v>59824</v>
      </c>
      <c r="AL25" s="117">
        <v>57959</v>
      </c>
      <c r="AM25" s="117">
        <v>1023577</v>
      </c>
      <c r="AN25" s="117">
        <v>1099896</v>
      </c>
      <c r="AP25" s="117">
        <f>SUM(AI25:AL25)</f>
        <v>243469</v>
      </c>
      <c r="AQ25" s="117">
        <f>SUM(AI25:AL25)</f>
        <v>243469</v>
      </c>
      <c r="AR25" s="129"/>
      <c r="AU25" s="39">
        <f>5999033-4750277</f>
        <v>1248756</v>
      </c>
      <c r="AV25" s="39">
        <v>1630143</v>
      </c>
      <c r="AW25" s="39">
        <f>3292696-AV25</f>
        <v>1662553</v>
      </c>
      <c r="AX25" s="39">
        <v>1147843.17</v>
      </c>
      <c r="AY25" s="39">
        <v>1052860</v>
      </c>
      <c r="AZ25" s="39">
        <v>823000</v>
      </c>
      <c r="BA25" s="39">
        <v>893836</v>
      </c>
      <c r="BB25" s="39">
        <v>842162</v>
      </c>
      <c r="BC25" s="39">
        <v>857286</v>
      </c>
      <c r="BE25" s="39">
        <v>6271055</v>
      </c>
      <c r="BF25" s="39">
        <v>5999033</v>
      </c>
      <c r="BG25" s="39">
        <f>SUM(AV25:AY25)</f>
        <v>5493399.1699999999</v>
      </c>
      <c r="BH25" s="39">
        <f t="shared" si="36"/>
        <v>3416284</v>
      </c>
      <c r="BJ25" s="39">
        <f t="shared" si="37"/>
        <v>3416284</v>
      </c>
      <c r="BN25" s="39">
        <f>1874668-1506434</f>
        <v>368234</v>
      </c>
      <c r="BO25" s="39">
        <v>531211</v>
      </c>
      <c r="BP25" s="39">
        <f>1035174-BO25</f>
        <v>503963</v>
      </c>
      <c r="BQ25" s="39">
        <v>531885.94999999995</v>
      </c>
      <c r="BR25" s="39">
        <v>480726</v>
      </c>
      <c r="BT25" s="39">
        <v>338635</v>
      </c>
      <c r="BU25" s="39">
        <v>402257.9</v>
      </c>
      <c r="BV25" s="39">
        <v>325093</v>
      </c>
      <c r="BW25" s="39">
        <v>308144</v>
      </c>
      <c r="BX25" s="39">
        <v>1965378</v>
      </c>
      <c r="BY25" s="39">
        <v>1874668</v>
      </c>
      <c r="BZ25" s="39">
        <f>SUM(BO25:BR25)</f>
        <v>2047785.95</v>
      </c>
      <c r="CA25" s="39">
        <f t="shared" ref="CA25:CA30" si="43">SUM(BT25:BW25)</f>
        <v>1374129.9</v>
      </c>
      <c r="CC25" s="39">
        <f>SUM(BT25:BW25)</f>
        <v>1374129.9</v>
      </c>
      <c r="CD25" s="39">
        <v>130249.98000000001</v>
      </c>
      <c r="CE25" s="39">
        <v>130249.98000000001</v>
      </c>
      <c r="CF25" s="39">
        <v>130249.98000000001</v>
      </c>
      <c r="CG25" s="39">
        <v>130249.98000000001</v>
      </c>
      <c r="CH25" s="39">
        <v>130249.98000000001</v>
      </c>
      <c r="CI25" s="39">
        <v>130249.98000000001</v>
      </c>
      <c r="CJ25" s="39">
        <v>130249.98000000001</v>
      </c>
      <c r="CK25" s="39">
        <v>130249.98000000001</v>
      </c>
      <c r="CL25" s="39">
        <v>130249.98000000001</v>
      </c>
      <c r="CM25" s="39">
        <v>130249.98000000001</v>
      </c>
      <c r="CN25" s="39">
        <v>134157</v>
      </c>
      <c r="CO25" s="39">
        <v>134157</v>
      </c>
      <c r="CQ25" s="39">
        <v>520999.92000000004</v>
      </c>
      <c r="CR25" s="39">
        <f t="shared" si="29"/>
        <v>520999.92000000004</v>
      </c>
      <c r="CS25" s="39">
        <f t="shared" si="30"/>
        <v>520999.92000000004</v>
      </c>
      <c r="CT25" s="39">
        <f t="shared" ref="CT25:CT45" si="44">SUM(CL25:CO25)</f>
        <v>528813.96</v>
      </c>
      <c r="CV25" s="39">
        <f t="shared" ref="CV25:CV34" si="45">SUM(CL25:CO25)</f>
        <v>528813.96</v>
      </c>
      <c r="CW25" s="119" t="str">
        <f t="shared" si="2"/>
        <v/>
      </c>
      <c r="CX25" s="119" t="str">
        <f t="shared" si="2"/>
        <v/>
      </c>
      <c r="CY25" s="119" t="str">
        <f t="shared" si="2"/>
        <v/>
      </c>
      <c r="CZ25" s="119">
        <f t="shared" si="2"/>
        <v>0.2948806652380449</v>
      </c>
      <c r="DA25" s="119">
        <f t="shared" si="2"/>
        <v>0.32586773062240554</v>
      </c>
      <c r="DB25" s="119">
        <f t="shared" si="2"/>
        <v>0.30312597553281007</v>
      </c>
      <c r="DC25" s="119">
        <f t="shared" si="2"/>
        <v>0.46337859029992745</v>
      </c>
      <c r="DD25" s="119">
        <f t="shared" si="2"/>
        <v>0.4565906198354957</v>
      </c>
      <c r="DE25" s="119">
        <f t="shared" si="38"/>
        <v>0.41146415552855409</v>
      </c>
      <c r="DF25" s="119">
        <f t="shared" si="38"/>
        <v>0.45003546511888087</v>
      </c>
      <c r="DG25" s="119">
        <f t="shared" si="38"/>
        <v>0.38602192927251527</v>
      </c>
      <c r="DH25" s="119">
        <f t="shared" si="38"/>
        <v>0.35944130663512525</v>
      </c>
      <c r="DI25" s="119"/>
      <c r="DJ25" s="119">
        <f t="shared" si="41"/>
        <v>0.31340468230624674</v>
      </c>
      <c r="DK25" s="119">
        <f t="shared" si="41"/>
        <v>0.31249503044907406</v>
      </c>
      <c r="DL25" s="119">
        <f t="shared" si="41"/>
        <v>0.37277210095766627</v>
      </c>
      <c r="DM25" s="119">
        <f t="shared" si="41"/>
        <v>0.40222941066960471</v>
      </c>
      <c r="DN25" s="119"/>
      <c r="DO25" s="119">
        <f t="shared" si="4"/>
        <v>0.40222941066960471</v>
      </c>
      <c r="DP25" s="118" t="str">
        <f t="shared" si="32"/>
        <v/>
      </c>
      <c r="DQ25" s="118" t="str">
        <f t="shared" si="32"/>
        <v/>
      </c>
      <c r="DR25" s="118" t="str">
        <f t="shared" si="32"/>
        <v/>
      </c>
      <c r="DS25" s="118">
        <f t="shared" si="32"/>
        <v>2.8271328717286557</v>
      </c>
      <c r="DT25" s="118">
        <f t="shared" si="32"/>
        <v>4.0783960197153197</v>
      </c>
      <c r="DU25" s="118">
        <f t="shared" si="32"/>
        <v>3.8691982908557834</v>
      </c>
      <c r="DV25" s="118">
        <f t="shared" si="32"/>
        <v>4.0835779782845254</v>
      </c>
      <c r="DW25" s="118">
        <f t="shared" si="32"/>
        <v>3.690795192444559</v>
      </c>
      <c r="DX25" s="118">
        <f t="shared" si="39"/>
        <v>2.5998852360668305</v>
      </c>
      <c r="DY25" s="118">
        <f t="shared" si="39"/>
        <v>3.0883528734514969</v>
      </c>
      <c r="DZ25" s="118">
        <f t="shared" si="39"/>
        <v>2.4232280089745597</v>
      </c>
      <c r="EA25" s="118">
        <f t="shared" si="39"/>
        <v>2.2968909561185775</v>
      </c>
      <c r="EB25" s="118"/>
      <c r="EC25" s="118">
        <f t="shared" si="33"/>
        <v>3.7723191972850971</v>
      </c>
      <c r="ED25" s="118">
        <f t="shared" si="33"/>
        <v>3.5982116849461319</v>
      </c>
      <c r="EE25" s="118">
        <f t="shared" si="33"/>
        <v>3.9304918703250467</v>
      </c>
      <c r="EF25" s="118">
        <f t="shared" si="33"/>
        <v>2.5985129061267598</v>
      </c>
      <c r="EG25" s="118"/>
      <c r="EH25" s="118">
        <f t="shared" si="7"/>
        <v>2.5985129061267598</v>
      </c>
      <c r="EI25" s="119" t="str">
        <f t="shared" si="40"/>
        <v/>
      </c>
      <c r="EJ25" s="119" t="str">
        <f t="shared" si="40"/>
        <v/>
      </c>
      <c r="EK25" s="119" t="str">
        <f t="shared" si="40"/>
        <v/>
      </c>
      <c r="EL25" s="119">
        <f t="shared" si="40"/>
        <v>0.10430378712895073</v>
      </c>
      <c r="EM25" s="119">
        <f t="shared" si="40"/>
        <v>7.9900953474633829E-2</v>
      </c>
      <c r="EN25" s="119">
        <f t="shared" si="40"/>
        <v>7.8343355068981269E-2</v>
      </c>
      <c r="EO25" s="119">
        <f t="shared" si="40"/>
        <v>0.11347367254012586</v>
      </c>
      <c r="EP25" s="119">
        <f t="shared" si="40"/>
        <v>0.12371063579203313</v>
      </c>
      <c r="EQ25" s="119">
        <f t="shared" si="40"/>
        <v>0.15826243013365737</v>
      </c>
      <c r="ER25" s="119">
        <f t="shared" si="40"/>
        <v>0.14572022160664821</v>
      </c>
      <c r="ES25" s="119">
        <f t="shared" si="40"/>
        <v>0.15930070461502657</v>
      </c>
      <c r="ET25" s="119">
        <f t="shared" si="40"/>
        <v>0.15649036610885983</v>
      </c>
      <c r="EU25" s="119"/>
      <c r="EV25" s="119">
        <f t="shared" si="42"/>
        <v>8.3080106935754836E-2</v>
      </c>
      <c r="EW25" s="119">
        <f t="shared" si="42"/>
        <v>8.6847316892572524E-2</v>
      </c>
      <c r="EX25" s="119">
        <f t="shared" si="42"/>
        <v>9.4841081792350443E-2</v>
      </c>
      <c r="EY25" s="119">
        <f t="shared" si="42"/>
        <v>0.15479215428225521</v>
      </c>
      <c r="EZ25" s="119"/>
      <c r="FA25" s="119">
        <f t="shared" si="9"/>
        <v>0.15479215428225521</v>
      </c>
      <c r="FB25" s="130">
        <f t="shared" si="10"/>
        <v>1774580</v>
      </c>
      <c r="FC25" s="131">
        <f>FB25/X25-1</f>
        <v>-0.1545895215749794</v>
      </c>
      <c r="FD25" s="132">
        <f t="shared" si="11"/>
        <v>243469</v>
      </c>
      <c r="FE25" s="133">
        <f>FD25/AN25-1</f>
        <v>-0.77864361721471842</v>
      </c>
      <c r="FF25" s="49">
        <f t="shared" si="12"/>
        <v>3416284</v>
      </c>
      <c r="FG25" s="50">
        <f>FF25/BG25-1</f>
        <v>-0.37811109400957654</v>
      </c>
      <c r="FH25" s="49">
        <f t="shared" si="13"/>
        <v>1374129.9</v>
      </c>
      <c r="FI25" s="50">
        <f>FH25/BZ25-1</f>
        <v>-0.32896800078152699</v>
      </c>
      <c r="FJ25" s="84">
        <f t="shared" si="14"/>
        <v>528813.96</v>
      </c>
      <c r="FK25" s="134">
        <f t="shared" si="15"/>
        <v>0.40222941066960471</v>
      </c>
      <c r="FL25" s="139">
        <f t="shared" si="16"/>
        <v>2.5985129061267598</v>
      </c>
      <c r="FM25" s="135">
        <f>EE25</f>
        <v>3.9304918703250467</v>
      </c>
      <c r="FN25" s="134">
        <f t="shared" si="18"/>
        <v>0.15479215428225521</v>
      </c>
      <c r="FO25" s="55" t="s">
        <v>40</v>
      </c>
      <c r="FP25" s="136" t="s">
        <v>66</v>
      </c>
      <c r="FQ25" s="137"/>
      <c r="FR25" s="137" t="s">
        <v>113</v>
      </c>
      <c r="FS25" s="138"/>
      <c r="FT25" s="12" t="s">
        <v>257</v>
      </c>
      <c r="FU25" s="12" t="s">
        <v>258</v>
      </c>
      <c r="FX25" s="59" t="s">
        <v>259</v>
      </c>
    </row>
    <row r="26" spans="1:180" x14ac:dyDescent="0.25">
      <c r="A26" s="36" t="s">
        <v>301</v>
      </c>
      <c r="B26" s="37" t="s">
        <v>256</v>
      </c>
      <c r="C26" s="37" t="str">
        <f>INDEX('[1]Property Summary'!A:A,MATCH($A26,'[1]Property Summary'!$AC:$AC,FALSE))</f>
        <v>2819 I-30</v>
      </c>
      <c r="D26" s="37" t="str">
        <f>INDEX('[1]Property Summary'!B:B,MATCH($A26,'[1]Property Summary'!$AC:$AC,FALSE))</f>
        <v>Caddo Mills</v>
      </c>
      <c r="E26" s="37" t="str">
        <f>INDEX('[1]Property Summary'!C:C,MATCH($A26,'[1]Property Summary'!$AC:$AC,FALSE))</f>
        <v>TX</v>
      </c>
      <c r="F26" s="37">
        <f>INDEX('[1]Property Summary'!D:D,MATCH($A26,'[1]Property Summary'!$AC:$AC,FALSE))</f>
        <v>75135</v>
      </c>
      <c r="G26" s="37" t="str">
        <f>INDEX('[1]Property Summary'!E:E,MATCH($A26,'[1]Property Summary'!$AC:$AC,FALSE))</f>
        <v>Texaco</v>
      </c>
      <c r="H26" s="37" t="str">
        <f>INDEX('[1]Property Summary'!F:F,MATCH($A26,'[1]Property Summary'!$AC:$AC,FALSE))</f>
        <v>Pinnacle Oil &amp; Gas Holdings, Inc.</v>
      </c>
      <c r="I26" s="83" t="str">
        <f>INDEX('[1]Property Summary'!H:H,MATCH($A26,'[1]Property Summary'!$AC:$AC,FALSE))</f>
        <v>Convenience Stores</v>
      </c>
      <c r="M26" s="39">
        <f>W26-2293623</f>
        <v>738153</v>
      </c>
      <c r="N26" s="39">
        <v>788789</v>
      </c>
      <c r="O26" s="39">
        <f>1574512-N26</f>
        <v>785723</v>
      </c>
      <c r="P26" s="39">
        <v>235256</v>
      </c>
      <c r="Q26" s="39">
        <v>235512</v>
      </c>
      <c r="R26" s="39">
        <v>270296</v>
      </c>
      <c r="S26" s="39">
        <v>270135</v>
      </c>
      <c r="T26" s="39">
        <v>275675</v>
      </c>
      <c r="U26" s="39">
        <v>268155</v>
      </c>
      <c r="V26" s="39">
        <v>2982716</v>
      </c>
      <c r="W26" s="39">
        <v>3031776</v>
      </c>
      <c r="X26" s="39">
        <f>SUM(N26:Q26)</f>
        <v>2045280</v>
      </c>
      <c r="Y26" s="39">
        <f>SUM(R26:U26)</f>
        <v>1084261</v>
      </c>
      <c r="Z26" s="39">
        <f>SUM(R26:U26)</f>
        <v>1084261</v>
      </c>
      <c r="AD26" s="117">
        <f>AN26-751119</f>
        <v>257026</v>
      </c>
      <c r="AG26" s="117">
        <v>342110</v>
      </c>
      <c r="AH26" s="117">
        <v>361521</v>
      </c>
      <c r="AI26" s="117">
        <v>340120</v>
      </c>
      <c r="AJ26" s="117">
        <v>301595</v>
      </c>
      <c r="AK26" s="117">
        <v>323485</v>
      </c>
      <c r="AL26" s="117">
        <v>254785</v>
      </c>
      <c r="AM26" s="117">
        <v>859302</v>
      </c>
      <c r="AN26" s="117">
        <v>1008145</v>
      </c>
      <c r="AP26" s="117">
        <f>SUM(AI26:AL26)</f>
        <v>1219985</v>
      </c>
      <c r="AQ26" s="117">
        <f>SUM(AI26:AL26)</f>
        <v>1219985</v>
      </c>
      <c r="AR26" s="129"/>
      <c r="AU26" s="39">
        <f>6263791-4885969</f>
        <v>1377822</v>
      </c>
      <c r="AV26" s="39">
        <v>1621029</v>
      </c>
      <c r="AW26" s="39">
        <f>3265990-AV26</f>
        <v>1644961</v>
      </c>
      <c r="AX26" s="39">
        <v>1663338</v>
      </c>
      <c r="AY26" s="39">
        <v>2092204</v>
      </c>
      <c r="AZ26" s="39">
        <v>2158546</v>
      </c>
      <c r="BA26" s="39">
        <v>2171869</v>
      </c>
      <c r="BB26" s="39">
        <v>2323524</v>
      </c>
      <c r="BC26" s="39">
        <v>2091182</v>
      </c>
      <c r="BE26" s="39">
        <v>6259457</v>
      </c>
      <c r="BF26" s="39">
        <v>6263791</v>
      </c>
      <c r="BG26" s="39">
        <f>SUM(AV26:AY26)</f>
        <v>7021532</v>
      </c>
      <c r="BH26" s="39">
        <f t="shared" si="36"/>
        <v>8745121</v>
      </c>
      <c r="BJ26" s="39">
        <f t="shared" si="37"/>
        <v>8745121</v>
      </c>
      <c r="BN26" s="39">
        <f>1742707-1363252</f>
        <v>379455</v>
      </c>
      <c r="BO26" s="39">
        <v>436521</v>
      </c>
      <c r="BP26" s="39">
        <f>909908-BO26</f>
        <v>473387</v>
      </c>
      <c r="BQ26" s="39">
        <v>812143.78</v>
      </c>
      <c r="BR26" s="39">
        <v>669020</v>
      </c>
      <c r="BT26" s="39">
        <v>425278</v>
      </c>
      <c r="BU26" s="39">
        <v>424596</v>
      </c>
      <c r="BV26" s="39">
        <v>407740</v>
      </c>
      <c r="BW26" s="39">
        <v>308301</v>
      </c>
      <c r="BX26" s="39">
        <v>1871087</v>
      </c>
      <c r="BY26" s="39">
        <v>1742707</v>
      </c>
      <c r="BZ26" s="39">
        <f>SUM(BO26:BR26)</f>
        <v>2391071.7800000003</v>
      </c>
      <c r="CA26" s="39">
        <f t="shared" si="43"/>
        <v>1565915</v>
      </c>
      <c r="CC26" s="39">
        <f>SUM(BT26:BW26)</f>
        <v>1565915</v>
      </c>
      <c r="CD26" s="39">
        <v>144000</v>
      </c>
      <c r="CE26" s="39">
        <v>144000</v>
      </c>
      <c r="CF26" s="39">
        <v>144000</v>
      </c>
      <c r="CG26" s="39">
        <v>144000</v>
      </c>
      <c r="CH26" s="39">
        <v>144000</v>
      </c>
      <c r="CI26" s="39">
        <v>144000</v>
      </c>
      <c r="CJ26" s="39">
        <v>144000</v>
      </c>
      <c r="CK26" s="39">
        <v>144000</v>
      </c>
      <c r="CL26" s="39">
        <v>144000</v>
      </c>
      <c r="CM26" s="39">
        <v>144000</v>
      </c>
      <c r="CN26" s="39">
        <v>148320</v>
      </c>
      <c r="CO26" s="39">
        <v>148320</v>
      </c>
      <c r="CQ26" s="39">
        <v>576000</v>
      </c>
      <c r="CR26" s="39">
        <f t="shared" si="29"/>
        <v>576000</v>
      </c>
      <c r="CS26" s="39">
        <f t="shared" si="30"/>
        <v>576000</v>
      </c>
      <c r="CT26" s="39">
        <f t="shared" si="44"/>
        <v>584640</v>
      </c>
      <c r="CV26" s="39">
        <f t="shared" si="45"/>
        <v>584640</v>
      </c>
      <c r="CW26" s="119" t="str">
        <f t="shared" si="2"/>
        <v/>
      </c>
      <c r="CX26" s="119" t="str">
        <f t="shared" si="2"/>
        <v/>
      </c>
      <c r="CY26" s="119" t="str">
        <f t="shared" si="2"/>
        <v/>
      </c>
      <c r="CZ26" s="119">
        <f t="shared" si="2"/>
        <v>0.27540204757944059</v>
      </c>
      <c r="DA26" s="119">
        <f t="shared" si="2"/>
        <v>0.26928636070051798</v>
      </c>
      <c r="DB26" s="119">
        <f t="shared" si="2"/>
        <v>0.28778007502913444</v>
      </c>
      <c r="DC26" s="119">
        <f t="shared" si="2"/>
        <v>0.48826142371544451</v>
      </c>
      <c r="DD26" s="119">
        <f t="shared" si="2"/>
        <v>0.31976805321087237</v>
      </c>
      <c r="DE26" s="119">
        <f t="shared" si="38"/>
        <v>0.19702058700625327</v>
      </c>
      <c r="DF26" s="119">
        <f t="shared" si="38"/>
        <v>0.19549797892966841</v>
      </c>
      <c r="DG26" s="119">
        <f t="shared" si="38"/>
        <v>0.17548344669562269</v>
      </c>
      <c r="DH26" s="119">
        <f t="shared" si="38"/>
        <v>0.14742906165030112</v>
      </c>
      <c r="DI26" s="119"/>
      <c r="DJ26" s="119">
        <f t="shared" si="41"/>
        <v>0.29892161572481446</v>
      </c>
      <c r="DK26" s="119">
        <f t="shared" si="41"/>
        <v>0.27821921261421401</v>
      </c>
      <c r="DL26" s="119">
        <f t="shared" si="41"/>
        <v>0.34053419965899184</v>
      </c>
      <c r="DM26" s="119">
        <f t="shared" si="41"/>
        <v>0.17906155901101883</v>
      </c>
      <c r="DN26" s="119"/>
      <c r="DO26" s="119">
        <f t="shared" si="4"/>
        <v>0.17906155901101883</v>
      </c>
      <c r="DP26" s="118" t="str">
        <f t="shared" si="32"/>
        <v/>
      </c>
      <c r="DQ26" s="118" t="str">
        <f t="shared" si="32"/>
        <v/>
      </c>
      <c r="DR26" s="118" t="str">
        <f t="shared" si="32"/>
        <v/>
      </c>
      <c r="DS26" s="118">
        <f t="shared" si="32"/>
        <v>2.6351041666666668</v>
      </c>
      <c r="DT26" s="118">
        <f t="shared" si="32"/>
        <v>3.0313958333333333</v>
      </c>
      <c r="DU26" s="118">
        <f t="shared" si="32"/>
        <v>3.2874097222222223</v>
      </c>
      <c r="DV26" s="118">
        <f t="shared" si="32"/>
        <v>5.6398873611111116</v>
      </c>
      <c r="DW26" s="118">
        <f t="shared" si="32"/>
        <v>4.6459722222222224</v>
      </c>
      <c r="DX26" s="118">
        <f t="shared" si="39"/>
        <v>2.9533194444444444</v>
      </c>
      <c r="DY26" s="118">
        <f t="shared" si="39"/>
        <v>2.9485833333333331</v>
      </c>
      <c r="DZ26" s="118">
        <f t="shared" si="39"/>
        <v>2.7490560949298812</v>
      </c>
      <c r="EA26" s="118">
        <f t="shared" si="39"/>
        <v>2.0786205501618125</v>
      </c>
      <c r="EB26" s="118"/>
      <c r="EC26" s="118">
        <f t="shared" si="33"/>
        <v>3.2484149305555556</v>
      </c>
      <c r="ED26" s="118">
        <f t="shared" si="33"/>
        <v>3.0255329861111111</v>
      </c>
      <c r="EE26" s="118">
        <f t="shared" si="33"/>
        <v>4.1511662847222226</v>
      </c>
      <c r="EF26" s="118">
        <f t="shared" si="33"/>
        <v>2.6784260399562125</v>
      </c>
      <c r="EG26" s="118"/>
      <c r="EH26" s="118">
        <f t="shared" si="7"/>
        <v>2.6784260399562125</v>
      </c>
      <c r="EI26" s="119" t="str">
        <f t="shared" si="40"/>
        <v/>
      </c>
      <c r="EJ26" s="119" t="str">
        <f t="shared" si="40"/>
        <v/>
      </c>
      <c r="EK26" s="119" t="str">
        <f t="shared" si="40"/>
        <v/>
      </c>
      <c r="EL26" s="119">
        <f t="shared" si="40"/>
        <v>0.1045127745093343</v>
      </c>
      <c r="EM26" s="119">
        <f t="shared" si="40"/>
        <v>8.8832463823904445E-2</v>
      </c>
      <c r="EN26" s="119">
        <f t="shared" si="40"/>
        <v>8.7540069339029927E-2</v>
      </c>
      <c r="EO26" s="119">
        <f t="shared" si="40"/>
        <v>8.657290340267583E-2</v>
      </c>
      <c r="EP26" s="119">
        <f t="shared" si="40"/>
        <v>6.8826940393957758E-2</v>
      </c>
      <c r="EQ26" s="119">
        <f t="shared" si="40"/>
        <v>6.6711573438787031E-2</v>
      </c>
      <c r="ER26" s="119">
        <f t="shared" si="40"/>
        <v>6.6302341439561957E-2</v>
      </c>
      <c r="ES26" s="119">
        <f t="shared" si="40"/>
        <v>6.3834072727460528E-2</v>
      </c>
      <c r="ET26" s="119">
        <f t="shared" si="40"/>
        <v>7.0926394737521645E-2</v>
      </c>
      <c r="EU26" s="119"/>
      <c r="EV26" s="119">
        <f t="shared" si="42"/>
        <v>9.2020761545290583E-2</v>
      </c>
      <c r="EW26" s="119">
        <f t="shared" si="42"/>
        <v>9.1957091160927942E-2</v>
      </c>
      <c r="EX26" s="119">
        <f t="shared" si="42"/>
        <v>8.2033379610033819E-2</v>
      </c>
      <c r="EY26" s="119">
        <f t="shared" si="42"/>
        <v>6.6853277387471252E-2</v>
      </c>
      <c r="EZ26" s="119"/>
      <c r="FA26" s="119">
        <f t="shared" si="9"/>
        <v>6.6853277387471252E-2</v>
      </c>
      <c r="FB26" s="130">
        <f t="shared" si="10"/>
        <v>1084261</v>
      </c>
      <c r="FC26" s="131">
        <f>FB26/X26-1</f>
        <v>-0.46987160682155993</v>
      </c>
      <c r="FD26" s="132">
        <f t="shared" si="11"/>
        <v>1219985</v>
      </c>
      <c r="FE26" s="133">
        <f>FD26/AN26-1</f>
        <v>0.21012850334029332</v>
      </c>
      <c r="FF26" s="49">
        <f t="shared" si="12"/>
        <v>8745121</v>
      </c>
      <c r="FG26" s="50">
        <f>FF26/BG26-1</f>
        <v>0.24547192834840037</v>
      </c>
      <c r="FH26" s="49">
        <f t="shared" si="13"/>
        <v>1565915</v>
      </c>
      <c r="FI26" s="50">
        <f>FH26/BZ26-1</f>
        <v>-0.34509912538050203</v>
      </c>
      <c r="FJ26" s="84">
        <f t="shared" si="14"/>
        <v>584640</v>
      </c>
      <c r="FK26" s="134">
        <f t="shared" si="15"/>
        <v>0.17906155901101883</v>
      </c>
      <c r="FL26" s="139">
        <f t="shared" si="16"/>
        <v>2.6784260399562125</v>
      </c>
      <c r="FM26" s="135">
        <f>EE26</f>
        <v>4.1511662847222226</v>
      </c>
      <c r="FN26" s="134">
        <f t="shared" si="18"/>
        <v>6.6853277387471252E-2</v>
      </c>
      <c r="FO26" s="55" t="s">
        <v>40</v>
      </c>
      <c r="FP26" s="136" t="s">
        <v>66</v>
      </c>
      <c r="FQ26" s="137"/>
      <c r="FR26" s="137" t="s">
        <v>113</v>
      </c>
      <c r="FS26" s="138"/>
      <c r="FT26" s="12" t="s">
        <v>257</v>
      </c>
      <c r="FU26" s="12" t="s">
        <v>258</v>
      </c>
      <c r="FX26" s="59" t="s">
        <v>259</v>
      </c>
    </row>
    <row r="27" spans="1:180" x14ac:dyDescent="0.25">
      <c r="A27" s="36" t="s">
        <v>302</v>
      </c>
      <c r="B27" s="37" t="s">
        <v>256</v>
      </c>
      <c r="C27" s="37" t="str">
        <f>INDEX('[1]Property Summary'!A:A,MATCH($A27,'[1]Property Summary'!$AC:$AC,FALSE))</f>
        <v>2221 Ella Blvd</v>
      </c>
      <c r="D27" s="37" t="str">
        <f>INDEX('[1]Property Summary'!B:B,MATCH($A27,'[1]Property Summary'!$AC:$AC,FALSE))</f>
        <v>Houston</v>
      </c>
      <c r="E27" s="37" t="str">
        <f>INDEX('[1]Property Summary'!C:C,MATCH($A27,'[1]Property Summary'!$AC:$AC,FALSE))</f>
        <v>TX</v>
      </c>
      <c r="F27" s="37">
        <f>INDEX('[1]Property Summary'!D:D,MATCH($A27,'[1]Property Summary'!$AC:$AC,FALSE))</f>
        <v>77008</v>
      </c>
      <c r="G27" s="37" t="str">
        <f>INDEX('[1]Property Summary'!E:E,MATCH($A27,'[1]Property Summary'!$AC:$AC,FALSE))</f>
        <v>Sunoco</v>
      </c>
      <c r="H27" s="37" t="str">
        <f>INDEX('[1]Property Summary'!F:F,MATCH($A27,'[1]Property Summary'!$AC:$AC,FALSE))</f>
        <v>Pinnacle Oil &amp; Gas Holdings, Inc.</v>
      </c>
      <c r="I27" s="83" t="str">
        <f>INDEX('[1]Property Summary'!H:H,MATCH($A27,'[1]Property Summary'!$AC:$AC,FALSE))</f>
        <v>Convenience Stores</v>
      </c>
      <c r="M27" s="39">
        <f>W27-1368996</f>
        <v>472241</v>
      </c>
      <c r="N27" s="39">
        <v>457986</v>
      </c>
      <c r="O27" s="39">
        <f>915972-N27</f>
        <v>457986</v>
      </c>
      <c r="P27" s="39">
        <v>365932</v>
      </c>
      <c r="Q27" s="39">
        <v>361019</v>
      </c>
      <c r="R27" s="39">
        <v>292439</v>
      </c>
      <c r="S27" s="39">
        <v>341743</v>
      </c>
      <c r="T27" s="39">
        <v>301531</v>
      </c>
      <c r="U27" s="39">
        <v>350284</v>
      </c>
      <c r="V27" s="39">
        <v>1697023</v>
      </c>
      <c r="W27" s="39">
        <v>1841237</v>
      </c>
      <c r="X27" s="39">
        <f>SUM(N27:Q27)</f>
        <v>1642923</v>
      </c>
      <c r="Y27" s="39">
        <f>SUM(R27:U27)</f>
        <v>1285997</v>
      </c>
      <c r="Z27" s="39">
        <f>SUM(R27:U27)</f>
        <v>1285997</v>
      </c>
      <c r="AD27" s="117">
        <f>AN27-300024</f>
        <v>111396</v>
      </c>
      <c r="AG27" s="117">
        <v>105694</v>
      </c>
      <c r="AH27" s="117">
        <v>89427</v>
      </c>
      <c r="AI27" s="117">
        <v>41351</v>
      </c>
      <c r="AJ27" s="117">
        <v>44004</v>
      </c>
      <c r="AK27" s="117">
        <v>43858</v>
      </c>
      <c r="AL27" s="117">
        <v>41339</v>
      </c>
      <c r="AM27" s="117">
        <v>281071</v>
      </c>
      <c r="AN27" s="117">
        <v>411420</v>
      </c>
      <c r="AP27" s="117">
        <f>SUM(AI27:AL27)</f>
        <v>170552</v>
      </c>
      <c r="AQ27" s="117">
        <f>SUM(AI27:AL27)</f>
        <v>170552</v>
      </c>
      <c r="AR27" s="129"/>
      <c r="AU27" s="39">
        <f>3083822-2130764</f>
        <v>953058</v>
      </c>
      <c r="AV27" s="39">
        <v>810446</v>
      </c>
      <c r="AW27" s="39">
        <f>1560892-AV27</f>
        <v>750446</v>
      </c>
      <c r="AX27" s="39">
        <v>963283.10999999987</v>
      </c>
      <c r="AY27" s="39">
        <v>835806</v>
      </c>
      <c r="AZ27" s="39">
        <v>623778</v>
      </c>
      <c r="BA27" s="39">
        <v>668969</v>
      </c>
      <c r="BB27" s="39">
        <v>660081</v>
      </c>
      <c r="BC27" s="39">
        <v>682394</v>
      </c>
      <c r="BE27" s="39">
        <v>2674588</v>
      </c>
      <c r="BF27" s="39">
        <v>3083822</v>
      </c>
      <c r="BG27" s="39">
        <f>SUM(AV27:AY27)</f>
        <v>3359981.11</v>
      </c>
      <c r="BH27" s="39">
        <f t="shared" si="36"/>
        <v>2635222</v>
      </c>
      <c r="BJ27" s="39">
        <f t="shared" si="37"/>
        <v>2635222</v>
      </c>
      <c r="BN27" s="39">
        <f>1070132-768022</f>
        <v>302110</v>
      </c>
      <c r="BO27" s="39">
        <v>258525</v>
      </c>
      <c r="BP27" s="39">
        <f>497954-BO27</f>
        <v>239429</v>
      </c>
      <c r="BQ27" s="39">
        <v>373718.8899999999</v>
      </c>
      <c r="BR27" s="39">
        <v>349922</v>
      </c>
      <c r="BT27" s="39">
        <v>233093</v>
      </c>
      <c r="BU27" s="39">
        <v>238372.9</v>
      </c>
      <c r="BV27" s="39">
        <v>221705</v>
      </c>
      <c r="BW27" s="39">
        <v>210297</v>
      </c>
      <c r="BX27" s="39">
        <v>758696</v>
      </c>
      <c r="BY27" s="39">
        <v>1070132</v>
      </c>
      <c r="BZ27" s="39">
        <f>SUM(BO27:BR27)</f>
        <v>1221594.8899999999</v>
      </c>
      <c r="CA27" s="39">
        <f t="shared" si="43"/>
        <v>903467.9</v>
      </c>
      <c r="CC27" s="39">
        <f>SUM(BT27:BW27)</f>
        <v>903467.9</v>
      </c>
      <c r="CD27" s="39">
        <v>80000.009999999995</v>
      </c>
      <c r="CE27" s="39">
        <v>80000.009999999995</v>
      </c>
      <c r="CF27" s="39">
        <v>80000.009999999995</v>
      </c>
      <c r="CG27" s="39">
        <v>80000.009999999995</v>
      </c>
      <c r="CH27" s="39">
        <v>80000.009999999995</v>
      </c>
      <c r="CI27" s="39">
        <v>80000.009999999995</v>
      </c>
      <c r="CJ27" s="39">
        <v>80000.009999999995</v>
      </c>
      <c r="CK27" s="39">
        <v>80000.009999999995</v>
      </c>
      <c r="CL27" s="39">
        <v>80000.009999999995</v>
      </c>
      <c r="CM27" s="39">
        <v>80000.009999999995</v>
      </c>
      <c r="CN27" s="39">
        <v>82400</v>
      </c>
      <c r="CO27" s="39">
        <v>82401</v>
      </c>
      <c r="CQ27" s="39">
        <v>320000.03999999998</v>
      </c>
      <c r="CR27" s="39">
        <f t="shared" si="29"/>
        <v>320000.03999999998</v>
      </c>
      <c r="CS27" s="39">
        <f t="shared" si="30"/>
        <v>320000.03999999998</v>
      </c>
      <c r="CT27" s="39">
        <f t="shared" si="44"/>
        <v>324801.02</v>
      </c>
      <c r="CV27" s="39">
        <f t="shared" si="45"/>
        <v>324801.02</v>
      </c>
      <c r="CW27" s="119" t="str">
        <f t="shared" si="2"/>
        <v/>
      </c>
      <c r="CX27" s="119" t="str">
        <f t="shared" si="2"/>
        <v/>
      </c>
      <c r="CY27" s="119" t="str">
        <f t="shared" si="2"/>
        <v/>
      </c>
      <c r="CZ27" s="119">
        <f t="shared" si="2"/>
        <v>0.31699015170115563</v>
      </c>
      <c r="DA27" s="119">
        <f t="shared" si="2"/>
        <v>0.31899102469504448</v>
      </c>
      <c r="DB27" s="119">
        <f t="shared" si="2"/>
        <v>0.31904893889766883</v>
      </c>
      <c r="DC27" s="119">
        <f t="shared" si="2"/>
        <v>0.38796371089699677</v>
      </c>
      <c r="DD27" s="119">
        <f t="shared" si="2"/>
        <v>0.41866413976449079</v>
      </c>
      <c r="DE27" s="119">
        <f t="shared" si="38"/>
        <v>0.37367941799806981</v>
      </c>
      <c r="DF27" s="119">
        <f t="shared" si="38"/>
        <v>0.356328768597648</v>
      </c>
      <c r="DG27" s="119">
        <f t="shared" si="38"/>
        <v>0.33587544558925342</v>
      </c>
      <c r="DH27" s="119">
        <f t="shared" si="38"/>
        <v>0.30817533565652688</v>
      </c>
      <c r="DI27" s="119"/>
      <c r="DJ27" s="119">
        <f t="shared" si="41"/>
        <v>0.28366836312733029</v>
      </c>
      <c r="DK27" s="119">
        <f t="shared" si="41"/>
        <v>0.34701484067498062</v>
      </c>
      <c r="DL27" s="119">
        <f t="shared" si="41"/>
        <v>0.3635719517482644</v>
      </c>
      <c r="DM27" s="119">
        <f t="shared" si="41"/>
        <v>0.34284318361033722</v>
      </c>
      <c r="DN27" s="119"/>
      <c r="DO27" s="119">
        <f t="shared" si="4"/>
        <v>0.34284318361033722</v>
      </c>
      <c r="DP27" s="118" t="str">
        <f t="shared" si="32"/>
        <v/>
      </c>
      <c r="DQ27" s="118" t="str">
        <f t="shared" si="32"/>
        <v/>
      </c>
      <c r="DR27" s="118" t="str">
        <f t="shared" si="32"/>
        <v/>
      </c>
      <c r="DS27" s="118">
        <f t="shared" si="32"/>
        <v>3.7763745279531844</v>
      </c>
      <c r="DT27" s="118">
        <f t="shared" si="32"/>
        <v>3.2315620960547382</v>
      </c>
      <c r="DU27" s="118">
        <f t="shared" si="32"/>
        <v>2.9928621258922345</v>
      </c>
      <c r="DV27" s="118">
        <f t="shared" si="32"/>
        <v>4.6714855410643068</v>
      </c>
      <c r="DW27" s="118">
        <f t="shared" si="32"/>
        <v>4.3740244532469434</v>
      </c>
      <c r="DX27" s="118">
        <f t="shared" si="39"/>
        <v>2.9136621357922334</v>
      </c>
      <c r="DY27" s="118">
        <f t="shared" si="39"/>
        <v>2.9796608775423903</v>
      </c>
      <c r="DZ27" s="118">
        <f t="shared" si="39"/>
        <v>2.6905946601941748</v>
      </c>
      <c r="EA27" s="118">
        <f t="shared" si="39"/>
        <v>2.5521170859576947</v>
      </c>
      <c r="EB27" s="118"/>
      <c r="EC27" s="118">
        <f t="shared" si="33"/>
        <v>2.3709247036344121</v>
      </c>
      <c r="ED27" s="118">
        <f t="shared" si="33"/>
        <v>3.3441620819797402</v>
      </c>
      <c r="EE27" s="118">
        <f t="shared" si="33"/>
        <v>3.8174835540645558</v>
      </c>
      <c r="EF27" s="118">
        <f t="shared" si="33"/>
        <v>2.7816042572772708</v>
      </c>
      <c r="EG27" s="118"/>
      <c r="EH27" s="118">
        <f t="shared" si="7"/>
        <v>2.7816042572772708</v>
      </c>
      <c r="EI27" s="119" t="str">
        <f t="shared" si="40"/>
        <v/>
      </c>
      <c r="EJ27" s="119" t="str">
        <f t="shared" si="40"/>
        <v/>
      </c>
      <c r="EK27" s="119" t="str">
        <f t="shared" si="40"/>
        <v/>
      </c>
      <c r="EL27" s="119">
        <f t="shared" si="40"/>
        <v>8.3940337314203334E-2</v>
      </c>
      <c r="EM27" s="119">
        <f t="shared" si="40"/>
        <v>9.8711092410845386E-2</v>
      </c>
      <c r="EN27" s="119">
        <f t="shared" si="40"/>
        <v>0.10660328657891439</v>
      </c>
      <c r="EO27" s="119">
        <f t="shared" si="40"/>
        <v>8.3049322851721133E-2</v>
      </c>
      <c r="EP27" s="119">
        <f t="shared" si="40"/>
        <v>9.5716003474490483E-2</v>
      </c>
      <c r="EQ27" s="119">
        <f t="shared" si="40"/>
        <v>0.12825077190923692</v>
      </c>
      <c r="ER27" s="119">
        <f t="shared" si="40"/>
        <v>0.11958702122220909</v>
      </c>
      <c r="ES27" s="119">
        <f t="shared" si="40"/>
        <v>0.12483316441467032</v>
      </c>
      <c r="ET27" s="119">
        <f t="shared" si="40"/>
        <v>0.12075282021823169</v>
      </c>
      <c r="EU27" s="119"/>
      <c r="EV27" s="119">
        <f t="shared" si="42"/>
        <v>0.11964461068396327</v>
      </c>
      <c r="EW27" s="119">
        <f t="shared" si="42"/>
        <v>0.10376735103387938</v>
      </c>
      <c r="EX27" s="119">
        <f t="shared" si="42"/>
        <v>9.5238642576773294E-2</v>
      </c>
      <c r="EY27" s="119">
        <f t="shared" si="42"/>
        <v>0.12325376002477212</v>
      </c>
      <c r="EZ27" s="119"/>
      <c r="FA27" s="119">
        <f t="shared" si="9"/>
        <v>0.12325376002477212</v>
      </c>
      <c r="FB27" s="130">
        <f t="shared" si="10"/>
        <v>1285997</v>
      </c>
      <c r="FC27" s="131">
        <f>FB27/X27-1</f>
        <v>-0.21725059543265268</v>
      </c>
      <c r="FD27" s="132">
        <f t="shared" si="11"/>
        <v>170552</v>
      </c>
      <c r="FE27" s="133">
        <f>FD27/AN27-1</f>
        <v>-0.58545525253998343</v>
      </c>
      <c r="FF27" s="49">
        <f t="shared" si="12"/>
        <v>2635222</v>
      </c>
      <c r="FG27" s="50">
        <f>FF27/BG27-1</f>
        <v>-0.21570332876067866</v>
      </c>
      <c r="FH27" s="49">
        <f t="shared" si="13"/>
        <v>903467.9</v>
      </c>
      <c r="FI27" s="50">
        <f>FH27/BZ27-1</f>
        <v>-0.26041938502214912</v>
      </c>
      <c r="FJ27" s="84">
        <f t="shared" si="14"/>
        <v>324801.02</v>
      </c>
      <c r="FK27" s="134">
        <f t="shared" si="15"/>
        <v>0.34284318361033722</v>
      </c>
      <c r="FL27" s="139">
        <f t="shared" si="16"/>
        <v>2.7816042572772708</v>
      </c>
      <c r="FM27" s="135">
        <f>EE27</f>
        <v>3.8174835540645558</v>
      </c>
      <c r="FN27" s="134">
        <f t="shared" si="18"/>
        <v>0.12325376002477212</v>
      </c>
      <c r="FO27" s="55" t="s">
        <v>40</v>
      </c>
      <c r="FP27" s="136" t="s">
        <v>66</v>
      </c>
      <c r="FQ27" s="137"/>
      <c r="FR27" s="137" t="s">
        <v>113</v>
      </c>
      <c r="FS27" s="138"/>
      <c r="FT27" s="12" t="s">
        <v>257</v>
      </c>
      <c r="FU27" s="12" t="s">
        <v>258</v>
      </c>
      <c r="FX27" s="59" t="s">
        <v>259</v>
      </c>
    </row>
    <row r="28" spans="1:180" x14ac:dyDescent="0.25">
      <c r="A28" s="36" t="s">
        <v>303</v>
      </c>
      <c r="B28" s="37" t="s">
        <v>289</v>
      </c>
      <c r="C28" s="37" t="str">
        <f>INDEX('[1]Property Summary'!A:A,MATCH($A28,'[1]Property Summary'!$AC:$AC,FALSE))</f>
        <v>16206 Spring Cypress Road</v>
      </c>
      <c r="D28" s="37" t="str">
        <f>INDEX('[1]Property Summary'!B:B,MATCH($A28,'[1]Property Summary'!$AC:$AC,FALSE))</f>
        <v>Cypress</v>
      </c>
      <c r="E28" s="37" t="str">
        <f>INDEX('[1]Property Summary'!C:C,MATCH($A28,'[1]Property Summary'!$AC:$AC,FALSE))</f>
        <v>TX</v>
      </c>
      <c r="F28" s="37">
        <f>INDEX('[1]Property Summary'!D:D,MATCH($A28,'[1]Property Summary'!$AC:$AC,FALSE))</f>
        <v>77429</v>
      </c>
      <c r="G28" s="37" t="str">
        <f>INDEX('[1]Property Summary'!E:E,MATCH($A28,'[1]Property Summary'!$AC:$AC,FALSE))</f>
        <v>Chevron</v>
      </c>
      <c r="H28" s="37" t="str">
        <f>INDEX('[1]Property Summary'!F:F,MATCH($A28,'[1]Property Summary'!$AC:$AC,FALSE))</f>
        <v>Pinnacle Oil &amp; Gas Holdings, Inc.</v>
      </c>
      <c r="I28" s="83" t="str">
        <f>INDEX('[1]Property Summary'!H:H,MATCH($A28,'[1]Property Summary'!$AC:$AC,FALSE))</f>
        <v>Convenience Stores</v>
      </c>
      <c r="Q28" s="39">
        <v>433899</v>
      </c>
      <c r="R28" s="39">
        <v>286320</v>
      </c>
      <c r="S28" s="39">
        <v>338490</v>
      </c>
      <c r="T28" s="39">
        <v>298220</v>
      </c>
      <c r="U28" s="39">
        <v>437060</v>
      </c>
      <c r="V28" s="39">
        <v>2179180</v>
      </c>
      <c r="W28" s="39">
        <v>3315624</v>
      </c>
      <c r="Y28" s="39">
        <f>SUM(R28:U28)</f>
        <v>1360090</v>
      </c>
      <c r="Z28" s="39">
        <f>SUM(R28:U28)</f>
        <v>1360090</v>
      </c>
      <c r="AH28" s="117">
        <v>126313</v>
      </c>
      <c r="AI28" s="117">
        <v>118824</v>
      </c>
      <c r="AJ28" s="117">
        <v>122762</v>
      </c>
      <c r="AK28" s="117">
        <v>118886</v>
      </c>
      <c r="AL28" s="117">
        <v>113943</v>
      </c>
      <c r="AM28" s="117">
        <v>716928</v>
      </c>
      <c r="AN28" s="117">
        <v>843048</v>
      </c>
      <c r="AP28" s="117">
        <f>SUM(AI28:AL28)</f>
        <v>474415</v>
      </c>
      <c r="AQ28" s="117">
        <f>SUM(AI28:AL28)</f>
        <v>474415</v>
      </c>
      <c r="AR28" s="129"/>
      <c r="AY28" s="39">
        <v>1156105</v>
      </c>
      <c r="AZ28" s="39">
        <v>935809</v>
      </c>
      <c r="BA28" s="39">
        <v>981199</v>
      </c>
      <c r="BB28" s="39">
        <v>977692</v>
      </c>
      <c r="BC28" s="39">
        <v>1030663</v>
      </c>
      <c r="BE28" s="39">
        <v>4622321</v>
      </c>
      <c r="BF28" s="39">
        <v>5870208</v>
      </c>
      <c r="BH28" s="39">
        <f t="shared" si="36"/>
        <v>3925363</v>
      </c>
      <c r="BJ28" s="39">
        <f t="shared" si="37"/>
        <v>3925363</v>
      </c>
      <c r="BR28" s="39">
        <v>509256</v>
      </c>
      <c r="BT28" s="39">
        <v>337773</v>
      </c>
      <c r="BU28" s="39">
        <v>322561</v>
      </c>
      <c r="BV28" s="39">
        <v>302395</v>
      </c>
      <c r="BW28" s="39">
        <v>351433</v>
      </c>
      <c r="BX28" s="39">
        <v>1243285</v>
      </c>
      <c r="BY28" s="39">
        <f>1682642+98115</f>
        <v>1780757</v>
      </c>
      <c r="CA28" s="39">
        <f t="shared" si="43"/>
        <v>1314162</v>
      </c>
      <c r="CC28" s="39">
        <f>SUM(BT28:BW28)</f>
        <v>1314162</v>
      </c>
      <c r="CD28" s="39">
        <v>115374.99</v>
      </c>
      <c r="CE28" s="39">
        <v>115374.99</v>
      </c>
      <c r="CF28" s="39">
        <v>115374.99</v>
      </c>
      <c r="CG28" s="39">
        <v>115374.99</v>
      </c>
      <c r="CH28" s="39">
        <v>115374.99</v>
      </c>
      <c r="CI28" s="39">
        <v>115374.99</v>
      </c>
      <c r="CJ28" s="39">
        <v>115374.99</v>
      </c>
      <c r="CK28" s="39">
        <v>115374.99</v>
      </c>
      <c r="CL28" s="39">
        <v>115374.99</v>
      </c>
      <c r="CM28" s="39">
        <v>115374.99</v>
      </c>
      <c r="CN28" s="39">
        <v>116529</v>
      </c>
      <c r="CO28" s="39">
        <v>118836</v>
      </c>
      <c r="CQ28" s="39">
        <v>461499.96</v>
      </c>
      <c r="CR28" s="39">
        <f t="shared" si="29"/>
        <v>461499.96</v>
      </c>
      <c r="CS28" s="39">
        <f t="shared" si="30"/>
        <v>461499.96</v>
      </c>
      <c r="CT28" s="39">
        <f t="shared" si="44"/>
        <v>466114.98</v>
      </c>
      <c r="CV28" s="39">
        <f t="shared" si="45"/>
        <v>466114.98</v>
      </c>
      <c r="CW28" s="119" t="str">
        <f t="shared" si="2"/>
        <v/>
      </c>
      <c r="CX28" s="119" t="str">
        <f t="shared" si="2"/>
        <v/>
      </c>
      <c r="CY28" s="119" t="str">
        <f t="shared" si="2"/>
        <v/>
      </c>
      <c r="CZ28" s="119" t="str">
        <f t="shared" si="2"/>
        <v/>
      </c>
      <c r="DA28" s="119" t="str">
        <f t="shared" si="2"/>
        <v/>
      </c>
      <c r="DB28" s="119" t="str">
        <f t="shared" si="2"/>
        <v/>
      </c>
      <c r="DC28" s="119" t="str">
        <f t="shared" si="2"/>
        <v/>
      </c>
      <c r="DD28" s="119">
        <f t="shared" si="2"/>
        <v>0.44049286180753477</v>
      </c>
      <c r="DE28" s="119">
        <f t="shared" si="38"/>
        <v>0.36094224355611026</v>
      </c>
      <c r="DF28" s="119">
        <f t="shared" si="38"/>
        <v>0.32874167217863043</v>
      </c>
      <c r="DG28" s="119">
        <f t="shared" si="38"/>
        <v>0.30929474722100619</v>
      </c>
      <c r="DH28" s="119">
        <f t="shared" si="38"/>
        <v>0.34097760373662389</v>
      </c>
      <c r="DI28" s="119"/>
      <c r="DJ28" s="119">
        <f t="shared" si="41"/>
        <v>0.2689741798546661</v>
      </c>
      <c r="DK28" s="119">
        <f t="shared" si="41"/>
        <v>0.30335500888554545</v>
      </c>
      <c r="DL28" s="119" t="str">
        <f t="shared" si="41"/>
        <v/>
      </c>
      <c r="DM28" s="119">
        <f t="shared" si="41"/>
        <v>0.33478738144726999</v>
      </c>
      <c r="DN28" s="119"/>
      <c r="DO28" s="119">
        <f t="shared" si="4"/>
        <v>0.33478738144726999</v>
      </c>
      <c r="DP28" s="118" t="str">
        <f t="shared" si="32"/>
        <v/>
      </c>
      <c r="DQ28" s="118" t="str">
        <f t="shared" si="32"/>
        <v/>
      </c>
      <c r="DR28" s="118" t="str">
        <f t="shared" si="32"/>
        <v/>
      </c>
      <c r="DS28" s="118" t="str">
        <f t="shared" si="32"/>
        <v/>
      </c>
      <c r="DT28" s="118" t="str">
        <f t="shared" si="32"/>
        <v/>
      </c>
      <c r="DU28" s="118" t="str">
        <f t="shared" si="32"/>
        <v/>
      </c>
      <c r="DV28" s="118" t="str">
        <f t="shared" si="32"/>
        <v/>
      </c>
      <c r="DW28" s="118">
        <f t="shared" si="32"/>
        <v>4.4139202092238534</v>
      </c>
      <c r="DX28" s="118">
        <f t="shared" si="39"/>
        <v>2.927610221244656</v>
      </c>
      <c r="DY28" s="118">
        <f t="shared" si="39"/>
        <v>2.7957618891234572</v>
      </c>
      <c r="DZ28" s="118">
        <f t="shared" si="39"/>
        <v>2.5950192655905395</v>
      </c>
      <c r="EA28" s="118">
        <f t="shared" si="39"/>
        <v>2.9572940859672152</v>
      </c>
      <c r="EB28" s="118"/>
      <c r="EC28" s="118">
        <f t="shared" si="33"/>
        <v>2.6940089008891785</v>
      </c>
      <c r="ED28" s="118">
        <f t="shared" si="33"/>
        <v>3.8586287201411675</v>
      </c>
      <c r="EE28" s="118" t="str">
        <f t="shared" si="33"/>
        <v/>
      </c>
      <c r="EF28" s="118">
        <f t="shared" si="33"/>
        <v>2.8193944764444172</v>
      </c>
      <c r="EG28" s="118"/>
      <c r="EH28" s="118">
        <f t="shared" si="7"/>
        <v>2.8193944764444172</v>
      </c>
      <c r="EI28" s="119" t="str">
        <f t="shared" si="40"/>
        <v/>
      </c>
      <c r="EJ28" s="119" t="str">
        <f t="shared" si="40"/>
        <v/>
      </c>
      <c r="EK28" s="119" t="str">
        <f t="shared" si="40"/>
        <v/>
      </c>
      <c r="EL28" s="119" t="str">
        <f t="shared" si="40"/>
        <v/>
      </c>
      <c r="EM28" s="119" t="str">
        <f t="shared" si="40"/>
        <v/>
      </c>
      <c r="EN28" s="119" t="str">
        <f t="shared" si="40"/>
        <v/>
      </c>
      <c r="EO28" s="119" t="str">
        <f t="shared" si="40"/>
        <v/>
      </c>
      <c r="EP28" s="119">
        <f t="shared" si="40"/>
        <v>9.9796290129356771E-2</v>
      </c>
      <c r="EQ28" s="119">
        <f t="shared" si="40"/>
        <v>0.1232890365448505</v>
      </c>
      <c r="ER28" s="119">
        <f t="shared" si="40"/>
        <v>0.11758571910489106</v>
      </c>
      <c r="ES28" s="119">
        <f t="shared" si="40"/>
        <v>0.11918784238799131</v>
      </c>
      <c r="ET28" s="119">
        <f t="shared" si="40"/>
        <v>0.11530053955560644</v>
      </c>
      <c r="EU28" s="119"/>
      <c r="EV28" s="119">
        <f t="shared" si="42"/>
        <v>9.9841607711796745E-2</v>
      </c>
      <c r="EW28" s="119">
        <f t="shared" si="42"/>
        <v>7.8617309642179639E-2</v>
      </c>
      <c r="EX28" s="119" t="str">
        <f t="shared" si="42"/>
        <v/>
      </c>
      <c r="EY28" s="119">
        <f t="shared" si="42"/>
        <v>0.11874442694853952</v>
      </c>
      <c r="EZ28" s="119"/>
      <c r="FA28" s="119">
        <f t="shared" si="9"/>
        <v>0.11874442694853952</v>
      </c>
      <c r="FB28" s="130">
        <f t="shared" si="10"/>
        <v>1360090</v>
      </c>
      <c r="FC28" s="131">
        <f>FB28/W28-1</f>
        <v>-0.58979365573418452</v>
      </c>
      <c r="FD28" s="132">
        <f t="shared" si="11"/>
        <v>474415</v>
      </c>
      <c r="FE28" s="133">
        <f>FD28/AN28-1</f>
        <v>-0.43726217249788857</v>
      </c>
      <c r="FF28" s="49">
        <f t="shared" si="12"/>
        <v>3925363</v>
      </c>
      <c r="FG28" s="50">
        <f>FF28/BF28-1</f>
        <v>-0.33130768109068709</v>
      </c>
      <c r="FH28" s="49">
        <f t="shared" si="13"/>
        <v>1314162</v>
      </c>
      <c r="FI28" s="50">
        <f>FH28/BY28-1</f>
        <v>-0.26202059011981982</v>
      </c>
      <c r="FJ28" s="84">
        <f t="shared" si="14"/>
        <v>466114.98</v>
      </c>
      <c r="FK28" s="134">
        <f t="shared" si="15"/>
        <v>0.33478738144726999</v>
      </c>
      <c r="FL28" s="139">
        <f t="shared" si="16"/>
        <v>2.8193944764444172</v>
      </c>
      <c r="FM28" s="135">
        <f>ED28</f>
        <v>3.8586287201411675</v>
      </c>
      <c r="FN28" s="134">
        <f t="shared" si="18"/>
        <v>0.11874442694853952</v>
      </c>
      <c r="FO28" s="55" t="s">
        <v>40</v>
      </c>
      <c r="FP28" s="136" t="s">
        <v>66</v>
      </c>
      <c r="FQ28" s="137"/>
      <c r="FR28" s="137" t="s">
        <v>113</v>
      </c>
      <c r="FS28" s="138"/>
      <c r="FT28" s="12" t="s">
        <v>257</v>
      </c>
      <c r="FU28" s="12" t="s">
        <v>258</v>
      </c>
      <c r="FX28" s="59" t="s">
        <v>290</v>
      </c>
    </row>
    <row r="29" spans="1:180" x14ac:dyDescent="0.25">
      <c r="A29" s="36" t="s">
        <v>304</v>
      </c>
      <c r="B29" s="37" t="s">
        <v>256</v>
      </c>
      <c r="C29" s="37" t="str">
        <f>INDEX('[1]Property Summary'!A:A,MATCH($A29,'[1]Property Summary'!$AC:$AC,FALSE))</f>
        <v>1406 West Gulf Bank Rd</v>
      </c>
      <c r="D29" s="37" t="str">
        <f>INDEX('[1]Property Summary'!B:B,MATCH($A29,'[1]Property Summary'!$AC:$AC,FALSE))</f>
        <v>Houston</v>
      </c>
      <c r="E29" s="37" t="str">
        <f>INDEX('[1]Property Summary'!C:C,MATCH($A29,'[1]Property Summary'!$AC:$AC,FALSE))</f>
        <v>TX</v>
      </c>
      <c r="F29" s="37">
        <f>INDEX('[1]Property Summary'!D:D,MATCH($A29,'[1]Property Summary'!$AC:$AC,FALSE))</f>
        <v>77088</v>
      </c>
      <c r="G29" s="37" t="str">
        <f>INDEX('[1]Property Summary'!E:E,MATCH($A29,'[1]Property Summary'!$AC:$AC,FALSE))</f>
        <v>Chevron</v>
      </c>
      <c r="H29" s="37" t="str">
        <f>INDEX('[1]Property Summary'!F:F,MATCH($A29,'[1]Property Summary'!$AC:$AC,FALSE))</f>
        <v>Pinnacle Oil &amp; Gas Holdings, Inc.</v>
      </c>
      <c r="I29" s="83" t="str">
        <f>INDEX('[1]Property Summary'!H:H,MATCH($A29,'[1]Property Summary'!$AC:$AC,FALSE))</f>
        <v>Convenience Stores</v>
      </c>
      <c r="M29" s="39">
        <f>W29-1784966</f>
        <v>601315</v>
      </c>
      <c r="N29" s="39">
        <v>611717</v>
      </c>
      <c r="O29" s="39">
        <f>1201524-N29</f>
        <v>589807</v>
      </c>
      <c r="P29" s="39">
        <v>233152</v>
      </c>
      <c r="Q29" s="39">
        <v>231370</v>
      </c>
      <c r="R29" s="39">
        <v>156289</v>
      </c>
      <c r="S29" s="39">
        <v>196637</v>
      </c>
      <c r="T29" s="39">
        <v>227021</v>
      </c>
      <c r="U29" s="39">
        <v>184617</v>
      </c>
      <c r="V29" s="39">
        <v>2351675</v>
      </c>
      <c r="W29" s="39">
        <v>2386281</v>
      </c>
      <c r="X29" s="39">
        <f>SUM(N29:Q29)</f>
        <v>1666046</v>
      </c>
      <c r="Y29" s="39">
        <f>SUM(R29:U29)</f>
        <v>764564</v>
      </c>
      <c r="Z29" s="39">
        <f>SUM(R29:U29)</f>
        <v>764564</v>
      </c>
      <c r="AD29" s="117">
        <f>AN29-753990</f>
        <v>238233</v>
      </c>
      <c r="AG29" s="117">
        <v>144379</v>
      </c>
      <c r="AH29" s="117">
        <v>150601</v>
      </c>
      <c r="AI29" s="117">
        <v>38782</v>
      </c>
      <c r="AJ29" s="117">
        <v>46082</v>
      </c>
      <c r="AK29" s="117">
        <v>41969</v>
      </c>
      <c r="AL29" s="117">
        <v>35738</v>
      </c>
      <c r="AM29" s="117">
        <v>906781</v>
      </c>
      <c r="AN29" s="117">
        <v>992223</v>
      </c>
      <c r="AP29" s="117">
        <f>SUM(AI29:AL29)</f>
        <v>162571</v>
      </c>
      <c r="AQ29" s="117">
        <f>SUM(AI29:AL29)</f>
        <v>162571</v>
      </c>
      <c r="AR29" s="129"/>
      <c r="AU29" s="39">
        <f>5501533-4291278</f>
        <v>1210255</v>
      </c>
      <c r="AV29" s="39">
        <v>1405192</v>
      </c>
      <c r="AW29" s="39">
        <f>2842810-AV29</f>
        <v>1437618</v>
      </c>
      <c r="AX29" s="39">
        <v>983684.17</v>
      </c>
      <c r="AY29" s="39">
        <v>754139</v>
      </c>
      <c r="AZ29" s="39">
        <v>471665</v>
      </c>
      <c r="BA29" s="39">
        <v>543307</v>
      </c>
      <c r="BB29" s="39">
        <v>575070</v>
      </c>
      <c r="BC29" s="39">
        <v>558366</v>
      </c>
      <c r="BE29" s="39">
        <v>5627512</v>
      </c>
      <c r="BF29" s="39">
        <f>5501533</f>
        <v>5501533</v>
      </c>
      <c r="BG29" s="39">
        <f>SUM(AV29:AY29)</f>
        <v>4580633.17</v>
      </c>
      <c r="BH29" s="39">
        <f t="shared" si="36"/>
        <v>2148408</v>
      </c>
      <c r="BJ29" s="39">
        <f t="shared" si="37"/>
        <v>2148408</v>
      </c>
      <c r="BN29" s="39">
        <f>1417957-1101274</f>
        <v>316683</v>
      </c>
      <c r="BO29" s="39">
        <v>351300</v>
      </c>
      <c r="BP29" s="39">
        <f>747356-BO29</f>
        <v>396056</v>
      </c>
      <c r="BQ29" s="39">
        <v>372693.76000000013</v>
      </c>
      <c r="BR29" s="39">
        <v>362217</v>
      </c>
      <c r="BT29" s="39">
        <v>205439</v>
      </c>
      <c r="BU29" s="141">
        <v>247661.9</v>
      </c>
      <c r="BV29" s="39">
        <v>257507</v>
      </c>
      <c r="BW29" s="39">
        <v>294381</v>
      </c>
      <c r="BX29" s="39">
        <v>1489469</v>
      </c>
      <c r="BY29" s="39">
        <v>1417957</v>
      </c>
      <c r="BZ29" s="39">
        <f>SUM(BO29:BR29)</f>
        <v>1482266.7600000002</v>
      </c>
      <c r="CA29" s="39">
        <f t="shared" si="43"/>
        <v>1004988.9</v>
      </c>
      <c r="CC29" s="39">
        <f>SUM(BT29:BW29)</f>
        <v>1004988.9</v>
      </c>
      <c r="CD29" s="39">
        <v>80000.009999999995</v>
      </c>
      <c r="CE29" s="39">
        <v>80000.009999999995</v>
      </c>
      <c r="CF29" s="39">
        <v>80000.009999999995</v>
      </c>
      <c r="CG29" s="39">
        <v>80000.009999999995</v>
      </c>
      <c r="CH29" s="39">
        <v>80000.009999999995</v>
      </c>
      <c r="CI29" s="39">
        <v>80000.009999999995</v>
      </c>
      <c r="CJ29" s="39">
        <v>80000.009999999995</v>
      </c>
      <c r="CK29" s="39">
        <v>80000.009999999995</v>
      </c>
      <c r="CL29" s="39">
        <v>80000.009999999995</v>
      </c>
      <c r="CM29" s="39">
        <v>80000.009999999995</v>
      </c>
      <c r="CN29" s="39">
        <v>82400</v>
      </c>
      <c r="CO29" s="39">
        <v>82401</v>
      </c>
      <c r="CQ29" s="39">
        <v>320000.03999999998</v>
      </c>
      <c r="CR29" s="39">
        <f t="shared" si="29"/>
        <v>320000.03999999998</v>
      </c>
      <c r="CS29" s="39">
        <f t="shared" si="30"/>
        <v>320000.03999999998</v>
      </c>
      <c r="CT29" s="39">
        <f t="shared" si="44"/>
        <v>324801.02</v>
      </c>
      <c r="CV29" s="39">
        <f t="shared" si="45"/>
        <v>324801.02</v>
      </c>
      <c r="CW29" s="119" t="str">
        <f t="shared" si="2"/>
        <v/>
      </c>
      <c r="CX29" s="119" t="str">
        <f t="shared" si="2"/>
        <v/>
      </c>
      <c r="CY29" s="119" t="str">
        <f t="shared" si="2"/>
        <v/>
      </c>
      <c r="CZ29" s="119">
        <f t="shared" si="2"/>
        <v>0.26166634304340819</v>
      </c>
      <c r="DA29" s="119">
        <f t="shared" si="2"/>
        <v>0.25000142329304464</v>
      </c>
      <c r="DB29" s="119">
        <f t="shared" si="2"/>
        <v>0.27549460287781596</v>
      </c>
      <c r="DC29" s="119">
        <f t="shared" si="2"/>
        <v>0.37887542705907334</v>
      </c>
      <c r="DD29" s="119">
        <f t="shared" si="2"/>
        <v>0.48030535484837678</v>
      </c>
      <c r="DE29" s="119">
        <f t="shared" si="38"/>
        <v>0.43556125640019927</v>
      </c>
      <c r="DF29" s="119">
        <f t="shared" si="38"/>
        <v>0.4558415407863326</v>
      </c>
      <c r="DG29" s="119">
        <f t="shared" si="38"/>
        <v>0.4477837480654529</v>
      </c>
      <c r="DH29" s="119">
        <f t="shared" si="38"/>
        <v>0.5272187060100364</v>
      </c>
      <c r="DI29" s="119"/>
      <c r="DJ29" s="119">
        <f t="shared" si="41"/>
        <v>0.26467629033931867</v>
      </c>
      <c r="DK29" s="119">
        <f t="shared" si="41"/>
        <v>0.25773852488024701</v>
      </c>
      <c r="DL29" s="119">
        <f t="shared" si="41"/>
        <v>0.32359429471624779</v>
      </c>
      <c r="DM29" s="119">
        <f t="shared" si="41"/>
        <v>0.46778307472323694</v>
      </c>
      <c r="DN29" s="119"/>
      <c r="DO29" s="119">
        <f t="shared" si="4"/>
        <v>0.46778307472323694</v>
      </c>
      <c r="DP29" s="118" t="str">
        <f t="shared" si="32"/>
        <v/>
      </c>
      <c r="DQ29" s="118" t="str">
        <f t="shared" si="32"/>
        <v/>
      </c>
      <c r="DR29" s="118" t="str">
        <f t="shared" si="32"/>
        <v/>
      </c>
      <c r="DS29" s="118">
        <f t="shared" si="32"/>
        <v>3.9585370051828748</v>
      </c>
      <c r="DT29" s="118">
        <f t="shared" si="32"/>
        <v>4.3912494510938185</v>
      </c>
      <c r="DU29" s="118">
        <f t="shared" si="32"/>
        <v>4.9506993811625772</v>
      </c>
      <c r="DV29" s="118">
        <f t="shared" si="32"/>
        <v>4.6586714176660751</v>
      </c>
      <c r="DW29" s="118">
        <f t="shared" si="32"/>
        <v>4.5277119340360086</v>
      </c>
      <c r="DX29" s="118">
        <f t="shared" si="39"/>
        <v>2.5679871790016029</v>
      </c>
      <c r="DY29" s="118">
        <f t="shared" si="39"/>
        <v>3.0957733630283299</v>
      </c>
      <c r="DZ29" s="118">
        <f t="shared" si="39"/>
        <v>3.1250849514563108</v>
      </c>
      <c r="EA29" s="118">
        <f t="shared" si="39"/>
        <v>3.5725415953689881</v>
      </c>
      <c r="EB29" s="118"/>
      <c r="EC29" s="118">
        <f t="shared" si="33"/>
        <v>4.6545900431762446</v>
      </c>
      <c r="ED29" s="118">
        <f t="shared" si="33"/>
        <v>4.4311150711106162</v>
      </c>
      <c r="EE29" s="118">
        <f t="shared" si="33"/>
        <v>4.6320830459896207</v>
      </c>
      <c r="EF29" s="118">
        <f t="shared" si="33"/>
        <v>3.0941679308765715</v>
      </c>
      <c r="EG29" s="118"/>
      <c r="EH29" s="118">
        <f t="shared" si="7"/>
        <v>3.0941679308765715</v>
      </c>
      <c r="EI29" s="119" t="str">
        <f t="shared" si="40"/>
        <v/>
      </c>
      <c r="EJ29" s="119" t="str">
        <f t="shared" si="40"/>
        <v/>
      </c>
      <c r="EK29" s="119" t="str">
        <f t="shared" si="40"/>
        <v/>
      </c>
      <c r="EL29" s="119">
        <f t="shared" si="40"/>
        <v>6.6101780203345575E-2</v>
      </c>
      <c r="EM29" s="119">
        <f t="shared" si="40"/>
        <v>5.6931728902527193E-2</v>
      </c>
      <c r="EN29" s="119">
        <f t="shared" si="40"/>
        <v>5.5647612926382387E-2</v>
      </c>
      <c r="EO29" s="119">
        <f t="shared" si="40"/>
        <v>8.1326926303998556E-2</v>
      </c>
      <c r="EP29" s="119">
        <f t="shared" si="40"/>
        <v>0.10608125292552167</v>
      </c>
      <c r="EQ29" s="119">
        <f t="shared" si="40"/>
        <v>0.16961192795734259</v>
      </c>
      <c r="ER29" s="119">
        <f t="shared" si="40"/>
        <v>0.14724641869145805</v>
      </c>
      <c r="ES29" s="119">
        <f t="shared" si="40"/>
        <v>0.14328690420296661</v>
      </c>
      <c r="ET29" s="119">
        <f t="shared" si="40"/>
        <v>0.14757524634379601</v>
      </c>
      <c r="EU29" s="119"/>
      <c r="EV29" s="119">
        <f t="shared" si="42"/>
        <v>5.6863502023629622E-2</v>
      </c>
      <c r="EW29" s="119">
        <f t="shared" si="42"/>
        <v>5.8165613111836281E-2</v>
      </c>
      <c r="EX29" s="119">
        <f t="shared" si="42"/>
        <v>6.9859346540949926E-2</v>
      </c>
      <c r="EY29" s="119">
        <f t="shared" si="42"/>
        <v>0.15118218699613856</v>
      </c>
      <c r="EZ29" s="119"/>
      <c r="FA29" s="119">
        <f t="shared" si="9"/>
        <v>0.15118218699613856</v>
      </c>
      <c r="FB29" s="130">
        <f t="shared" si="10"/>
        <v>764564</v>
      </c>
      <c r="FC29" s="131">
        <f>FB29/X29-1</f>
        <v>-0.54109070217749089</v>
      </c>
      <c r="FD29" s="132">
        <f t="shared" si="11"/>
        <v>162571</v>
      </c>
      <c r="FE29" s="133">
        <f>FD29/AN29-1</f>
        <v>-0.83615477569054542</v>
      </c>
      <c r="FF29" s="49">
        <f t="shared" si="12"/>
        <v>2148408</v>
      </c>
      <c r="FG29" s="50">
        <f t="shared" ref="FG29:FG45" si="46">FF29/BG29-1</f>
        <v>-0.53098012430451835</v>
      </c>
      <c r="FH29" s="49">
        <f t="shared" si="13"/>
        <v>1004988.9</v>
      </c>
      <c r="FI29" s="50">
        <f t="shared" ref="FI29:FI45" si="47">FH29/BZ29-1</f>
        <v>-0.32199187951836694</v>
      </c>
      <c r="FJ29" s="84">
        <f t="shared" si="14"/>
        <v>324801.02</v>
      </c>
      <c r="FK29" s="134">
        <f t="shared" si="15"/>
        <v>0.46778307472323694</v>
      </c>
      <c r="FL29" s="139">
        <f t="shared" si="16"/>
        <v>3.0941679308765715</v>
      </c>
      <c r="FM29" s="135">
        <f t="shared" ref="FM29:FM45" si="48">EE29</f>
        <v>4.6320830459896207</v>
      </c>
      <c r="FN29" s="134">
        <f t="shared" si="18"/>
        <v>0.15118218699613856</v>
      </c>
      <c r="FO29" s="55" t="s">
        <v>40</v>
      </c>
      <c r="FP29" s="136" t="s">
        <v>66</v>
      </c>
      <c r="FQ29" s="137"/>
      <c r="FR29" s="137" t="s">
        <v>113</v>
      </c>
      <c r="FS29" s="138"/>
      <c r="FT29" s="12" t="s">
        <v>257</v>
      </c>
      <c r="FU29" s="12" t="s">
        <v>258</v>
      </c>
      <c r="FX29" s="59" t="s">
        <v>259</v>
      </c>
    </row>
    <row r="30" spans="1:180" x14ac:dyDescent="0.25">
      <c r="A30" s="36" t="s">
        <v>305</v>
      </c>
      <c r="B30" s="37" t="s">
        <v>306</v>
      </c>
      <c r="C30" s="37" t="str">
        <f>INDEX('[1]Property Summary'!A:A,MATCH($A30,'[1]Property Summary'!$AC:$AC,FALSE))</f>
        <v>8301 W. McNab Road</v>
      </c>
      <c r="D30" s="37" t="str">
        <f>INDEX('[1]Property Summary'!B:B,MATCH($A30,'[1]Property Summary'!$AC:$AC,FALSE))</f>
        <v>Tamarac</v>
      </c>
      <c r="E30" s="37" t="str">
        <f>INDEX('[1]Property Summary'!C:C,MATCH($A30,'[1]Property Summary'!$AC:$AC,FALSE))</f>
        <v>FL</v>
      </c>
      <c r="F30" s="37">
        <f>INDEX('[1]Property Summary'!D:D,MATCH($A30,'[1]Property Summary'!$AC:$AC,FALSE))</f>
        <v>33321</v>
      </c>
      <c r="G30" s="37" t="str">
        <f>INDEX('[1]Property Summary'!E:E,MATCH($A30,'[1]Property Summary'!$AC:$AC,FALSE))</f>
        <v>Regard Recovery</v>
      </c>
      <c r="H30" s="37" t="str">
        <f>INDEX('[1]Property Summary'!F:F,MATCH($A30,'[1]Property Summary'!$AC:$AC,FALSE))</f>
        <v>Regard Recovery Residential Treatment of Florida LLC</v>
      </c>
      <c r="I30" s="83" t="str">
        <f>INDEX('[1]Property Summary'!H:H,MATCH($A30,'[1]Property Summary'!$AC:$AC,FALSE))</f>
        <v>Health Care</v>
      </c>
      <c r="AU30" s="39">
        <f>753774+659618+634533</f>
        <v>2047925</v>
      </c>
      <c r="AV30" s="39">
        <v>2288823</v>
      </c>
      <c r="AW30" s="39">
        <v>1804386</v>
      </c>
      <c r="AX30" s="39">
        <v>2206828</v>
      </c>
      <c r="AY30" s="39">
        <v>2020738</v>
      </c>
      <c r="AZ30" s="39">
        <v>2165485</v>
      </c>
      <c r="BA30" s="39">
        <v>2032368</v>
      </c>
      <c r="BB30" s="39">
        <v>1695168</v>
      </c>
      <c r="BC30" s="39">
        <v>1440196</v>
      </c>
      <c r="BF30" s="39">
        <v>9284931</v>
      </c>
      <c r="BG30" s="39">
        <f>SUM(AV30:AY30)</f>
        <v>8320775</v>
      </c>
      <c r="BH30" s="39">
        <f t="shared" si="36"/>
        <v>7333217</v>
      </c>
      <c r="BJ30" s="39">
        <f t="shared" si="37"/>
        <v>7333217</v>
      </c>
      <c r="BN30" s="39">
        <f>317039+223874+151946+17343+17343+17342+72063+72241+71728</f>
        <v>960919</v>
      </c>
      <c r="BO30" s="39">
        <f>1000*1141</f>
        <v>1141000</v>
      </c>
      <c r="BP30" s="39">
        <f>1000*701</f>
        <v>701000</v>
      </c>
      <c r="BQ30" s="39">
        <f>1000*1114</f>
        <v>1114000</v>
      </c>
      <c r="BR30" s="39">
        <v>955965</v>
      </c>
      <c r="BT30" s="39">
        <v>865396.47</v>
      </c>
      <c r="BU30" s="39">
        <v>1112306.8200000005</v>
      </c>
      <c r="BV30" s="39">
        <v>460736.4599999999</v>
      </c>
      <c r="BW30" s="39">
        <v>209857.5</v>
      </c>
      <c r="BY30" s="39">
        <f>3842754+813267+208112</f>
        <v>4864133</v>
      </c>
      <c r="BZ30" s="39">
        <f>SUM(BO30:BR30)</f>
        <v>3911965</v>
      </c>
      <c r="CA30" s="39">
        <f t="shared" si="43"/>
        <v>2648297.2500000005</v>
      </c>
      <c r="CC30" s="39">
        <f>CA30</f>
        <v>2648297.2500000005</v>
      </c>
      <c r="CD30" s="39">
        <v>179656.87499999994</v>
      </c>
      <c r="CE30" s="39">
        <v>179656.87499999994</v>
      </c>
      <c r="CF30" s="39">
        <v>181154.01562499994</v>
      </c>
      <c r="CG30" s="39">
        <v>184148.29687499994</v>
      </c>
      <c r="CH30" s="39">
        <v>184148.29687499994</v>
      </c>
      <c r="CI30" s="39">
        <v>184148.29687499994</v>
      </c>
      <c r="CJ30" s="39">
        <v>185682.86601562492</v>
      </c>
      <c r="CK30" s="39">
        <v>188752.00429687492</v>
      </c>
      <c r="CL30" s="39">
        <f>CM30</f>
        <v>188752.00429687492</v>
      </c>
      <c r="CM30" s="39">
        <f>'[2]Rent Roll'!Y145+'[2]Rent Roll'!Y146+'[2]Rent Roll'!Y147</f>
        <v>188752.00429687492</v>
      </c>
      <c r="CN30" s="39">
        <f>'[2]Rent Roll'!Y148+'[2]Rent Roll'!Y149+'[2]Rent Roll'!Y150</f>
        <v>190324.93766601555</v>
      </c>
      <c r="CO30" s="39">
        <f>'[2]Rent Roll'!Y153+'[2]Rent Roll'!Y151+'[2]Rent Roll'!Y152</f>
        <v>193470.8044042968</v>
      </c>
      <c r="CQ30" s="39">
        <v>706942.49999999988</v>
      </c>
      <c r="CR30" s="39">
        <f t="shared" si="29"/>
        <v>724616.06249999977</v>
      </c>
      <c r="CS30" s="39">
        <f t="shared" si="30"/>
        <v>742731.46406249981</v>
      </c>
      <c r="CT30" s="39">
        <f t="shared" si="44"/>
        <v>761299.75066406222</v>
      </c>
      <c r="CV30" s="39">
        <f t="shared" si="45"/>
        <v>761299.75066406222</v>
      </c>
      <c r="CW30" s="43" t="str">
        <f t="shared" si="2"/>
        <v/>
      </c>
      <c r="CX30" s="43" t="str">
        <f t="shared" si="2"/>
        <v/>
      </c>
      <c r="CY30" s="43" t="str">
        <f t="shared" si="2"/>
        <v/>
      </c>
      <c r="CZ30" s="43">
        <f t="shared" si="2"/>
        <v>0.46921591366871346</v>
      </c>
      <c r="DA30" s="43">
        <f t="shared" si="2"/>
        <v>0.49850949592869348</v>
      </c>
      <c r="DB30" s="43">
        <f t="shared" si="2"/>
        <v>0.3884978047934311</v>
      </c>
      <c r="DC30" s="43">
        <f t="shared" si="2"/>
        <v>0.504796930254646</v>
      </c>
      <c r="DD30" s="43">
        <f t="shared" si="2"/>
        <v>0.47307716289791157</v>
      </c>
      <c r="DE30" s="43">
        <f t="shared" si="38"/>
        <v>0.39963170837018036</v>
      </c>
      <c r="DF30" s="43">
        <f t="shared" si="38"/>
        <v>0.547295971989325</v>
      </c>
      <c r="DG30" s="43">
        <f t="shared" si="38"/>
        <v>0.27179398148148143</v>
      </c>
      <c r="DH30" s="43">
        <f t="shared" si="38"/>
        <v>0.14571454163183345</v>
      </c>
      <c r="DI30" s="43"/>
      <c r="DJ30" s="43" t="str">
        <f t="shared" si="41"/>
        <v/>
      </c>
      <c r="DK30" s="43">
        <f t="shared" si="41"/>
        <v>0.52387389847054333</v>
      </c>
      <c r="DL30" s="43">
        <f t="shared" si="41"/>
        <v>0.47014430747135932</v>
      </c>
      <c r="DM30" s="43">
        <f t="shared" si="41"/>
        <v>0.36113717213059432</v>
      </c>
      <c r="DN30" s="43"/>
      <c r="DO30" s="43">
        <f t="shared" si="4"/>
        <v>0.36113717213059432</v>
      </c>
      <c r="DP30" s="118" t="str">
        <f t="shared" si="32"/>
        <v/>
      </c>
      <c r="DQ30" s="118" t="str">
        <f t="shared" si="32"/>
        <v/>
      </c>
      <c r="DR30" s="118" t="str">
        <f t="shared" si="32"/>
        <v/>
      </c>
      <c r="DS30" s="118">
        <f t="shared" si="32"/>
        <v>5.2181802183718959</v>
      </c>
      <c r="DT30" s="118">
        <f t="shared" si="32"/>
        <v>6.1960931453768051</v>
      </c>
      <c r="DU30" s="118">
        <f t="shared" si="32"/>
        <v>3.8067145441797896</v>
      </c>
      <c r="DV30" s="118">
        <f t="shared" si="32"/>
        <v>5.9994765478590715</v>
      </c>
      <c r="DW30" s="118">
        <f t="shared" si="32"/>
        <v>5.0646614512046666</v>
      </c>
      <c r="DX30" s="118">
        <f t="shared" si="39"/>
        <v>4.5848332748767957</v>
      </c>
      <c r="DY30" s="118">
        <f t="shared" si="39"/>
        <v>5.89295368885477</v>
      </c>
      <c r="DZ30" s="118">
        <f t="shared" si="39"/>
        <v>2.4207887082485517</v>
      </c>
      <c r="EA30" s="118">
        <f t="shared" si="39"/>
        <v>1.0846985448071009</v>
      </c>
      <c r="EB30" s="118"/>
      <c r="EC30" s="118" t="str">
        <f t="shared" si="33"/>
        <v/>
      </c>
      <c r="ED30" s="118">
        <f t="shared" si="33"/>
        <v>6.7127038051271484</v>
      </c>
      <c r="EE30" s="118">
        <f t="shared" si="33"/>
        <v>5.2669978172229603</v>
      </c>
      <c r="EF30" s="118">
        <f t="shared" si="33"/>
        <v>3.4786524594155703</v>
      </c>
      <c r="EG30" s="118"/>
      <c r="EH30" s="118">
        <f t="shared" si="7"/>
        <v>3.4786524594155703</v>
      </c>
      <c r="EI30" s="43" t="str">
        <f t="shared" si="40"/>
        <v/>
      </c>
      <c r="EJ30" s="43" t="str">
        <f t="shared" si="40"/>
        <v/>
      </c>
      <c r="EK30" s="43" t="str">
        <f t="shared" si="40"/>
        <v/>
      </c>
      <c r="EL30" s="43">
        <f t="shared" si="40"/>
        <v>8.9919453532233823E-2</v>
      </c>
      <c r="EM30" s="43">
        <f t="shared" si="40"/>
        <v>8.045545543495497E-2</v>
      </c>
      <c r="EN30" s="43">
        <f t="shared" si="40"/>
        <v>0.10205593308471687</v>
      </c>
      <c r="EO30" s="43">
        <f t="shared" si="40"/>
        <v>8.4140162267120469E-2</v>
      </c>
      <c r="EP30" s="43">
        <f t="shared" si="40"/>
        <v>9.340746019368909E-2</v>
      </c>
      <c r="EQ30" s="43">
        <f t="shared" si="40"/>
        <v>8.7163847496923283E-2</v>
      </c>
      <c r="ER30" s="43">
        <f t="shared" si="40"/>
        <v>9.2872946384156274E-2</v>
      </c>
      <c r="ES30" s="43">
        <f t="shared" si="40"/>
        <v>0.11227497077930657</v>
      </c>
      <c r="ET30" s="43">
        <f t="shared" si="40"/>
        <v>0.13433644059856908</v>
      </c>
      <c r="EU30" s="43"/>
      <c r="EV30" s="43" t="str">
        <f t="shared" si="42"/>
        <v/>
      </c>
      <c r="EW30" s="43">
        <f t="shared" si="42"/>
        <v>7.8042159117822169E-2</v>
      </c>
      <c r="EX30" s="43">
        <f t="shared" si="42"/>
        <v>8.9262293964504483E-2</v>
      </c>
      <c r="EY30" s="43">
        <f t="shared" si="42"/>
        <v>0.10381524925064432</v>
      </c>
      <c r="EZ30" s="43"/>
      <c r="FA30" s="43">
        <f t="shared" si="9"/>
        <v>0.10381524925064432</v>
      </c>
      <c r="FB30" s="120" t="str">
        <f t="shared" si="10"/>
        <v/>
      </c>
      <c r="FC30" s="52"/>
      <c r="FD30" s="122" t="str">
        <f t="shared" si="11"/>
        <v/>
      </c>
      <c r="FE30" s="123"/>
      <c r="FF30" s="49">
        <f t="shared" si="12"/>
        <v>7333217</v>
      </c>
      <c r="FG30" s="50">
        <f t="shared" si="46"/>
        <v>-0.11868581953003177</v>
      </c>
      <c r="FH30" s="49">
        <f t="shared" si="13"/>
        <v>2648297.2500000005</v>
      </c>
      <c r="FI30" s="50">
        <f t="shared" si="47"/>
        <v>-0.32302634353834958</v>
      </c>
      <c r="FJ30" s="84">
        <f t="shared" si="14"/>
        <v>761299.75066406222</v>
      </c>
      <c r="FK30" s="51">
        <f t="shared" si="15"/>
        <v>0.36113717213059432</v>
      </c>
      <c r="FL30" s="110">
        <f t="shared" si="16"/>
        <v>3.4786524594155703</v>
      </c>
      <c r="FM30" s="54">
        <f t="shared" si="48"/>
        <v>5.2669978172229603</v>
      </c>
      <c r="FN30" s="51">
        <f t="shared" si="18"/>
        <v>0.10381524925064432</v>
      </c>
      <c r="FO30" s="55" t="s">
        <v>40</v>
      </c>
      <c r="FP30" s="124" t="s">
        <v>66</v>
      </c>
      <c r="FR30" s="125" t="s">
        <v>307</v>
      </c>
      <c r="FS30" s="126"/>
      <c r="FT30" s="12" t="s">
        <v>308</v>
      </c>
      <c r="FU30" s="12" t="s">
        <v>258</v>
      </c>
      <c r="FV30" s="12" t="s">
        <v>309</v>
      </c>
      <c r="FX30" s="59"/>
    </row>
    <row r="31" spans="1:180" x14ac:dyDescent="0.25">
      <c r="A31" s="36" t="s">
        <v>310</v>
      </c>
      <c r="B31" s="37" t="s">
        <v>311</v>
      </c>
      <c r="C31" s="37" t="str">
        <f>INDEX('[1]Property Summary'!A:A,MATCH($A31,'[1]Property Summary'!$AC:$AC,FALSE))</f>
        <v>3485 Ajo Way</v>
      </c>
      <c r="D31" s="37" t="str">
        <f>INDEX('[1]Property Summary'!B:B,MATCH($A31,'[1]Property Summary'!$AC:$AC,FALSE))</f>
        <v>Tucson (9644)</v>
      </c>
      <c r="E31" s="37" t="str">
        <f>INDEX('[1]Property Summary'!C:C,MATCH($A31,'[1]Property Summary'!$AC:$AC,FALSE))</f>
        <v>AZ</v>
      </c>
      <c r="F31" s="37">
        <f>INDEX('[1]Property Summary'!D:D,MATCH($A31,'[1]Property Summary'!$AC:$AC,FALSE))</f>
        <v>85713</v>
      </c>
      <c r="G31" s="37" t="str">
        <f>INDEX('[1]Property Summary'!E:E,MATCH($A31,'[1]Property Summary'!$AC:$AC,FALSE))</f>
        <v>Burger King</v>
      </c>
      <c r="H31" s="37" t="str">
        <f>INDEX('[1]Property Summary'!F:F,MATCH($A31,'[1]Property Summary'!$AC:$AC,FALSE))</f>
        <v>Kraf, Inc.</v>
      </c>
      <c r="I31" s="83" t="str">
        <f>INDEX('[1]Property Summary'!H:H,MATCH($A31,'[1]Property Summary'!$AC:$AC,FALSE))</f>
        <v>Restaurants</v>
      </c>
      <c r="AU31" s="39">
        <v>325425.46000000002</v>
      </c>
      <c r="AV31" s="39">
        <v>413895.15</v>
      </c>
      <c r="AW31" s="39">
        <v>396138.4</v>
      </c>
      <c r="AX31" s="39">
        <v>401697.95</v>
      </c>
      <c r="AY31" s="39">
        <f>BG31-SUM(AV31:AX31)</f>
        <v>428820.5</v>
      </c>
      <c r="AZ31" s="39">
        <v>430182.77</v>
      </c>
      <c r="BA31" s="39">
        <v>423734.34</v>
      </c>
      <c r="BB31" s="39">
        <f>140040+139324+135470</f>
        <v>414834</v>
      </c>
      <c r="BC31" s="39">
        <f>BH31-SUM(AZ31:BB31)</f>
        <v>429907.8899999999</v>
      </c>
      <c r="BE31" s="39">
        <v>1447009</v>
      </c>
      <c r="BF31" s="39">
        <v>1451454</v>
      </c>
      <c r="BG31" s="39">
        <v>1640552</v>
      </c>
      <c r="BH31" s="39">
        <v>1698659</v>
      </c>
      <c r="BJ31" s="39">
        <f t="shared" si="37"/>
        <v>1698659</v>
      </c>
      <c r="BO31" s="39">
        <f>29298+22693+25730+8448+8449+8448</f>
        <v>103066</v>
      </c>
      <c r="BP31" s="39">
        <f>12581+21004+17381+8554+8554+8554</f>
        <v>76628</v>
      </c>
      <c r="BQ31" s="39">
        <f>22195+20928+16805+8554+8554+8554</f>
        <v>85590</v>
      </c>
      <c r="BR31" s="39">
        <f>BZ31-SUM(BO31:BQ31)</f>
        <v>98823</v>
      </c>
      <c r="BT31" s="39">
        <f>74211.16+25662.21</f>
        <v>99873.37</v>
      </c>
      <c r="BU31" s="39">
        <f>67693+25662.21</f>
        <v>93355.209999999992</v>
      </c>
      <c r="BV31" s="39">
        <f>23340+21174+20518+8554+8554+8554</f>
        <v>90694</v>
      </c>
      <c r="BW31" s="39">
        <f>8554+9409+8660+23106+14624+25523</f>
        <v>89876</v>
      </c>
      <c r="BX31" s="39">
        <f>118121+CQ31</f>
        <v>217445.3</v>
      </c>
      <c r="BY31" s="39">
        <f>148857+CR31</f>
        <v>249422.82</v>
      </c>
      <c r="BZ31" s="39">
        <f>261775+102332</f>
        <v>364107</v>
      </c>
      <c r="CA31" s="39">
        <f>272749+103611</f>
        <v>376360</v>
      </c>
      <c r="CC31" s="39">
        <f>SUM(BT31:BW31)</f>
        <v>373798.57999999996</v>
      </c>
      <c r="CD31" s="39">
        <v>24907.949999999997</v>
      </c>
      <c r="CE31" s="39">
        <v>25219.29</v>
      </c>
      <c r="CF31" s="39">
        <v>25219.29</v>
      </c>
      <c r="CG31" s="39">
        <v>25219.29</v>
      </c>
      <c r="CH31" s="39">
        <v>25219.29</v>
      </c>
      <c r="CI31" s="39">
        <v>25534.53</v>
      </c>
      <c r="CJ31" s="39">
        <v>25534.53</v>
      </c>
      <c r="CK31" s="39">
        <v>25534.53</v>
      </c>
      <c r="CL31" s="39">
        <v>25534.53</v>
      </c>
      <c r="CM31" s="39">
        <v>25853.699999999997</v>
      </c>
      <c r="CN31" s="39">
        <v>25853.699999999997</v>
      </c>
      <c r="CO31" s="39">
        <f>8554+9409+8660</f>
        <v>26623</v>
      </c>
      <c r="CQ31" s="39">
        <v>99324.299999999974</v>
      </c>
      <c r="CR31" s="39">
        <f t="shared" si="29"/>
        <v>100565.82</v>
      </c>
      <c r="CS31" s="39">
        <f t="shared" si="30"/>
        <v>101822.88</v>
      </c>
      <c r="CT31" s="39">
        <f t="shared" si="44"/>
        <v>103864.93</v>
      </c>
      <c r="CV31" s="39">
        <f t="shared" si="45"/>
        <v>103864.93</v>
      </c>
      <c r="CW31" s="43" t="str">
        <f t="shared" si="2"/>
        <v/>
      </c>
      <c r="CX31" s="43" t="str">
        <f t="shared" si="2"/>
        <v/>
      </c>
      <c r="CY31" s="43" t="str">
        <f t="shared" si="2"/>
        <v/>
      </c>
      <c r="CZ31" s="43">
        <f t="shared" si="2"/>
        <v>0</v>
      </c>
      <c r="DA31" s="43">
        <f t="shared" si="2"/>
        <v>0.24901475651502558</v>
      </c>
      <c r="DB31" s="43">
        <f t="shared" si="2"/>
        <v>0.19343744509494659</v>
      </c>
      <c r="DC31" s="43">
        <f t="shared" si="2"/>
        <v>0.2130705421822541</v>
      </c>
      <c r="DD31" s="43">
        <f t="shared" si="2"/>
        <v>0.23045306835843901</v>
      </c>
      <c r="DE31" s="43">
        <f t="shared" si="38"/>
        <v>0.23216497025206284</v>
      </c>
      <c r="DF31" s="43">
        <f t="shared" si="38"/>
        <v>0.22031542215813801</v>
      </c>
      <c r="DG31" s="43">
        <f t="shared" si="38"/>
        <v>0.21862720992011261</v>
      </c>
      <c r="DH31" s="43">
        <f t="shared" si="38"/>
        <v>0.209058735814316</v>
      </c>
      <c r="DI31" s="43"/>
      <c r="DJ31" s="43">
        <f t="shared" si="41"/>
        <v>0.1502722512437725</v>
      </c>
      <c r="DK31" s="43">
        <f t="shared" si="41"/>
        <v>0.17184342045975967</v>
      </c>
      <c r="DL31" s="43">
        <f t="shared" si="41"/>
        <v>0.22194176106578761</v>
      </c>
      <c r="DM31" s="43">
        <f t="shared" si="41"/>
        <v>0.22156300940918688</v>
      </c>
      <c r="DN31" s="43"/>
      <c r="DO31" s="43">
        <f t="shared" si="4"/>
        <v>0.22005510228951189</v>
      </c>
      <c r="DP31" s="118" t="str">
        <f t="shared" si="32"/>
        <v/>
      </c>
      <c r="DQ31" s="118" t="str">
        <f t="shared" si="32"/>
        <v/>
      </c>
      <c r="DR31" s="118" t="str">
        <f t="shared" si="32"/>
        <v/>
      </c>
      <c r="DS31" s="118" t="str">
        <f t="shared" si="32"/>
        <v/>
      </c>
      <c r="DT31" s="118">
        <f t="shared" si="32"/>
        <v>4.0867922927251321</v>
      </c>
      <c r="DU31" s="118">
        <f t="shared" si="32"/>
        <v>3.0009559604190876</v>
      </c>
      <c r="DV31" s="118">
        <f t="shared" si="32"/>
        <v>3.3519316783978401</v>
      </c>
      <c r="DW31" s="118">
        <f t="shared" si="32"/>
        <v>3.8701710977253159</v>
      </c>
      <c r="DX31" s="118">
        <f t="shared" si="39"/>
        <v>3.9113063761110936</v>
      </c>
      <c r="DY31" s="118">
        <f t="shared" si="39"/>
        <v>3.610903274966446</v>
      </c>
      <c r="DZ31" s="118">
        <f t="shared" si="39"/>
        <v>3.5079698457087383</v>
      </c>
      <c r="EA31" s="118">
        <f t="shared" si="39"/>
        <v>3.3758780002253692</v>
      </c>
      <c r="EB31" s="118"/>
      <c r="EC31" s="118">
        <f t="shared" ref="EC31:EF52" si="49">IF(BX31/CQ31=0,"",BX31/CQ31)</f>
        <v>2.1892457334207243</v>
      </c>
      <c r="ED31" s="118">
        <f t="shared" si="49"/>
        <v>2.4801947619976645</v>
      </c>
      <c r="EE31" s="118">
        <f t="shared" si="49"/>
        <v>3.5758858912653029</v>
      </c>
      <c r="EF31" s="118">
        <f t="shared" si="49"/>
        <v>3.6235522423208684</v>
      </c>
      <c r="EG31" s="118"/>
      <c r="EH31" s="118">
        <f t="shared" si="7"/>
        <v>3.598891175298534</v>
      </c>
      <c r="EI31" s="43" t="str">
        <f t="shared" si="40"/>
        <v/>
      </c>
      <c r="EJ31" s="43" t="str">
        <f t="shared" si="40"/>
        <v/>
      </c>
      <c r="EK31" s="43" t="str">
        <f t="shared" si="40"/>
        <v/>
      </c>
      <c r="EL31" s="43">
        <f t="shared" si="40"/>
        <v>7.7496364297987008E-2</v>
      </c>
      <c r="EM31" s="43">
        <f t="shared" si="40"/>
        <v>6.0931591008012535E-2</v>
      </c>
      <c r="EN31" s="43">
        <f t="shared" si="40"/>
        <v>6.4458608405547152E-2</v>
      </c>
      <c r="EO31" s="43">
        <f t="shared" si="40"/>
        <v>6.3566493182252978E-2</v>
      </c>
      <c r="EP31" s="43">
        <f t="shared" si="40"/>
        <v>5.9545963870663833E-2</v>
      </c>
      <c r="EQ31" s="43">
        <f t="shared" si="40"/>
        <v>5.9357398251910456E-2</v>
      </c>
      <c r="ER31" s="43">
        <f t="shared" si="40"/>
        <v>6.1013936231838081E-2</v>
      </c>
      <c r="ES31" s="43">
        <f t="shared" si="40"/>
        <v>6.2323001489752519E-2</v>
      </c>
      <c r="ET31" s="43">
        <f t="shared" si="40"/>
        <v>6.1927218874722224E-2</v>
      </c>
      <c r="EU31" s="43"/>
      <c r="EV31" s="43">
        <f t="shared" si="42"/>
        <v>6.8641107277148908E-2</v>
      </c>
      <c r="EW31" s="43">
        <f t="shared" si="42"/>
        <v>6.9286260535986674E-2</v>
      </c>
      <c r="EX31" s="43">
        <f t="shared" si="42"/>
        <v>6.206623136602802E-2</v>
      </c>
      <c r="EY31" s="43">
        <f t="shared" si="42"/>
        <v>6.1145250459332917E-2</v>
      </c>
      <c r="EZ31" s="43"/>
      <c r="FA31" s="43">
        <f t="shared" si="9"/>
        <v>6.1145250459332917E-2</v>
      </c>
      <c r="FB31" s="120" t="str">
        <f t="shared" si="10"/>
        <v/>
      </c>
      <c r="FC31" s="52"/>
      <c r="FD31" s="122" t="str">
        <f t="shared" si="11"/>
        <v/>
      </c>
      <c r="FE31" s="123"/>
      <c r="FF31" s="49">
        <f t="shared" si="12"/>
        <v>1698659</v>
      </c>
      <c r="FG31" s="50">
        <f t="shared" si="46"/>
        <v>3.5419175984668483E-2</v>
      </c>
      <c r="FH31" s="49">
        <f t="shared" si="13"/>
        <v>373798.57999999996</v>
      </c>
      <c r="FI31" s="50">
        <f t="shared" si="47"/>
        <v>2.6617395435956981E-2</v>
      </c>
      <c r="FJ31" s="84">
        <f t="shared" si="14"/>
        <v>103864.93</v>
      </c>
      <c r="FK31" s="51">
        <f t="shared" si="15"/>
        <v>0.22005510228951189</v>
      </c>
      <c r="FL31" s="139">
        <f t="shared" si="16"/>
        <v>3.598891175298534</v>
      </c>
      <c r="FM31" s="54">
        <f t="shared" si="48"/>
        <v>3.5758858912653029</v>
      </c>
      <c r="FN31" s="51">
        <f t="shared" si="18"/>
        <v>6.1145250459332917E-2</v>
      </c>
      <c r="FO31" s="55" t="s">
        <v>40</v>
      </c>
      <c r="FP31" s="124" t="s">
        <v>66</v>
      </c>
      <c r="FR31" s="125" t="s">
        <v>113</v>
      </c>
      <c r="FS31" s="126" t="s">
        <v>113</v>
      </c>
      <c r="FT31" s="12" t="s">
        <v>312</v>
      </c>
      <c r="FU31" s="12" t="s">
        <v>313</v>
      </c>
      <c r="FX31" s="59" t="s">
        <v>314</v>
      </c>
    </row>
    <row r="32" spans="1:180" x14ac:dyDescent="0.25">
      <c r="A32" s="36" t="s">
        <v>315</v>
      </c>
      <c r="B32" s="37" t="s">
        <v>246</v>
      </c>
      <c r="C32" s="37" t="str">
        <f>INDEX('[1]Property Summary'!A:A,MATCH($A32,'[1]Property Summary'!$AC:$AC,FALSE))</f>
        <v>7301 Cessna Drive</v>
      </c>
      <c r="D32" s="37" t="str">
        <f>INDEX('[1]Property Summary'!B:B,MATCH($A32,'[1]Property Summary'!$AC:$AC,FALSE))</f>
        <v>Greensboro</v>
      </c>
      <c r="E32" s="37" t="str">
        <f>INDEX('[1]Property Summary'!C:C,MATCH($A32,'[1]Property Summary'!$AC:$AC,FALSE))</f>
        <v>NC</v>
      </c>
      <c r="F32" s="37">
        <f>INDEX('[1]Property Summary'!D:D,MATCH($A32,'[1]Property Summary'!$AC:$AC,FALSE))</f>
        <v>27409</v>
      </c>
      <c r="G32" s="37" t="str">
        <f>INDEX('[1]Property Summary'!E:E,MATCH($A32,'[1]Property Summary'!$AC:$AC,FALSE))</f>
        <v>GPM</v>
      </c>
      <c r="H32" s="37" t="str">
        <f>INDEX('[1]Property Summary'!F:F,MATCH($A32,'[1]Property Summary'!$AC:$AC,FALSE))</f>
        <v>GPM Empire, LLC</v>
      </c>
      <c r="I32" s="83" t="str">
        <f>INDEX('[1]Property Summary'!H:H,MATCH($A32,'[1]Property Summary'!$AC:$AC,FALSE))</f>
        <v>Convenience Stores</v>
      </c>
      <c r="AA32" s="117">
        <v>155679</v>
      </c>
      <c r="AB32" s="117">
        <v>161560</v>
      </c>
      <c r="AC32" s="117">
        <v>167765</v>
      </c>
      <c r="AD32" s="117">
        <v>159570</v>
      </c>
      <c r="AE32" s="117">
        <v>160309</v>
      </c>
      <c r="AF32" s="117">
        <v>165691</v>
      </c>
      <c r="AG32" s="117">
        <v>169683</v>
      </c>
      <c r="AH32" s="117">
        <v>163566</v>
      </c>
      <c r="AI32" s="117">
        <v>155257</v>
      </c>
      <c r="AJ32" s="117">
        <v>175909</v>
      </c>
      <c r="AK32" s="117">
        <v>172845</v>
      </c>
      <c r="AL32" s="117">
        <v>189369</v>
      </c>
      <c r="AM32" s="117">
        <v>292790</v>
      </c>
      <c r="AN32" s="117">
        <v>644574</v>
      </c>
      <c r="AO32" s="117">
        <f>SUM(AE32:AH32)</f>
        <v>659249</v>
      </c>
      <c r="AP32" s="117">
        <f>SUM(AI32:AL32)</f>
        <v>693380</v>
      </c>
      <c r="AQ32" s="117">
        <f>SUM(AI32:AL32)</f>
        <v>693380</v>
      </c>
      <c r="AR32" s="39">
        <v>57016</v>
      </c>
      <c r="AS32" s="39">
        <v>69941</v>
      </c>
      <c r="AT32" s="39">
        <v>61683</v>
      </c>
      <c r="AU32" s="39">
        <v>46207</v>
      </c>
      <c r="AV32" s="39">
        <v>62668</v>
      </c>
      <c r="AW32" s="39">
        <v>82775</v>
      </c>
      <c r="AX32" s="39">
        <v>76135</v>
      </c>
      <c r="AY32" s="39">
        <v>60509</v>
      </c>
      <c r="AZ32" s="39">
        <v>70306</v>
      </c>
      <c r="BA32" s="39">
        <v>92491</v>
      </c>
      <c r="BB32" s="39">
        <v>74902</v>
      </c>
      <c r="BC32" s="39">
        <v>78653</v>
      </c>
      <c r="BE32" s="39">
        <v>128454</v>
      </c>
      <c r="BF32" s="39">
        <v>234847</v>
      </c>
      <c r="BG32" s="39">
        <f>SUM(AV32:AY32)</f>
        <v>282087</v>
      </c>
      <c r="BH32" s="39">
        <f>SUM(AZ32:BC32)</f>
        <v>316352</v>
      </c>
      <c r="BJ32" s="39">
        <f t="shared" si="37"/>
        <v>316352</v>
      </c>
      <c r="BK32" s="39">
        <f>24934+18038</f>
        <v>42972</v>
      </c>
      <c r="BL32" s="39">
        <f>27693+18038</f>
        <v>45731</v>
      </c>
      <c r="BM32" s="39">
        <f>8467+18038</f>
        <v>26505</v>
      </c>
      <c r="BN32" s="39">
        <f>13177+18038</f>
        <v>31215</v>
      </c>
      <c r="BO32" s="39">
        <f>27873+17678</f>
        <v>45551</v>
      </c>
      <c r="BP32" s="39">
        <f>50852+16956</f>
        <v>67808</v>
      </c>
      <c r="BQ32" s="39">
        <f>57426+16956</f>
        <v>74382</v>
      </c>
      <c r="BR32" s="39">
        <f>30262+16956</f>
        <v>47218</v>
      </c>
      <c r="BT32" s="39">
        <f>37914+16956</f>
        <v>54870</v>
      </c>
      <c r="BU32" s="39">
        <f>61162+16956</f>
        <v>78118</v>
      </c>
      <c r="BV32" s="39">
        <f>38416+16956</f>
        <v>55372</v>
      </c>
      <c r="BW32" s="39">
        <f>50107+16956</f>
        <v>67063</v>
      </c>
      <c r="BX32" s="39">
        <f>88382+32003</f>
        <v>120385</v>
      </c>
      <c r="BY32" s="39">
        <f>74271+72153</f>
        <v>146424</v>
      </c>
      <c r="BZ32" s="39">
        <f>SUM(BO32:BR32)</f>
        <v>234959</v>
      </c>
      <c r="CA32" s="39">
        <f>SUM(BT32:BW32)</f>
        <v>255423</v>
      </c>
      <c r="CC32" s="39">
        <f>SUM(BT32:BW32)</f>
        <v>255423</v>
      </c>
      <c r="CD32" s="39">
        <v>18038.28</v>
      </c>
      <c r="CE32" s="39">
        <v>18038.28</v>
      </c>
      <c r="CF32" s="39">
        <v>18038.28</v>
      </c>
      <c r="CG32" s="39">
        <v>18038.28</v>
      </c>
      <c r="CH32" s="39">
        <v>17677.510000000002</v>
      </c>
      <c r="CI32" s="39">
        <v>16955.97</v>
      </c>
      <c r="CJ32" s="39">
        <v>16955.97</v>
      </c>
      <c r="CK32" s="39">
        <v>16955.97</v>
      </c>
      <c r="CL32" s="39">
        <v>16955.97</v>
      </c>
      <c r="CM32" s="39">
        <v>16955.97</v>
      </c>
      <c r="CN32" s="39">
        <v>16955.97</v>
      </c>
      <c r="CO32" s="39">
        <v>16955.97</v>
      </c>
      <c r="CQ32" s="39">
        <v>72153.12000000001</v>
      </c>
      <c r="CR32" s="39">
        <f t="shared" si="29"/>
        <v>72153.119999999995</v>
      </c>
      <c r="CS32" s="39">
        <f t="shared" si="30"/>
        <v>68545.420000000013</v>
      </c>
      <c r="CT32" s="39">
        <f t="shared" si="44"/>
        <v>67823.88</v>
      </c>
      <c r="CV32" s="39">
        <f t="shared" si="45"/>
        <v>67823.88</v>
      </c>
      <c r="CW32" s="43">
        <f t="shared" si="2"/>
        <v>0.75368317665216777</v>
      </c>
      <c r="CX32" s="43">
        <f t="shared" si="2"/>
        <v>0.65385110307258976</v>
      </c>
      <c r="CY32" s="43">
        <f t="shared" si="2"/>
        <v>0.42969699917319198</v>
      </c>
      <c r="CZ32" s="43">
        <f t="shared" si="2"/>
        <v>0.67554699504404092</v>
      </c>
      <c r="DA32" s="43">
        <f t="shared" si="2"/>
        <v>0.72686219442139532</v>
      </c>
      <c r="DB32" s="43">
        <f t="shared" si="2"/>
        <v>0.8191845363938387</v>
      </c>
      <c r="DC32" s="43">
        <f t="shared" si="2"/>
        <v>0.97697511000197024</v>
      </c>
      <c r="DD32" s="43">
        <f t="shared" si="2"/>
        <v>0.78034672528053683</v>
      </c>
      <c r="DE32" s="43">
        <f t="shared" si="38"/>
        <v>0.78044548118226043</v>
      </c>
      <c r="DF32" s="43">
        <f t="shared" si="38"/>
        <v>0.84460109632288549</v>
      </c>
      <c r="DG32" s="43">
        <f t="shared" si="38"/>
        <v>0.73925929881712105</v>
      </c>
      <c r="DH32" s="43">
        <f t="shared" si="38"/>
        <v>0.85264389152352738</v>
      </c>
      <c r="DI32" s="43"/>
      <c r="DJ32" s="43">
        <f t="shared" si="41"/>
        <v>0.93718373892599682</v>
      </c>
      <c r="DK32" s="43">
        <f t="shared" si="41"/>
        <v>0.62348678075512998</v>
      </c>
      <c r="DL32" s="43">
        <f t="shared" si="41"/>
        <v>0.83293097519559567</v>
      </c>
      <c r="DM32" s="43">
        <f t="shared" si="41"/>
        <v>0.80740124924135137</v>
      </c>
      <c r="DN32" s="43"/>
      <c r="DO32" s="43">
        <f t="shared" si="4"/>
        <v>0.80740124924135137</v>
      </c>
      <c r="DP32" s="118">
        <f t="shared" si="32"/>
        <v>2.3822670454167474</v>
      </c>
      <c r="DQ32" s="118">
        <f t="shared" si="32"/>
        <v>2.5352195442137502</v>
      </c>
      <c r="DR32" s="118">
        <f t="shared" si="32"/>
        <v>1.4693751288925552</v>
      </c>
      <c r="DS32" s="118">
        <f t="shared" si="32"/>
        <v>1.7304864987127377</v>
      </c>
      <c r="DT32" s="118">
        <f t="shared" si="32"/>
        <v>2.5767769329503984</v>
      </c>
      <c r="DU32" s="118">
        <f t="shared" si="32"/>
        <v>3.9990634567058088</v>
      </c>
      <c r="DV32" s="118">
        <f t="shared" si="32"/>
        <v>4.3867735080918395</v>
      </c>
      <c r="DW32" s="118">
        <f t="shared" si="32"/>
        <v>2.7847418932682704</v>
      </c>
      <c r="DX32" s="118">
        <f t="shared" si="39"/>
        <v>3.2360283723078065</v>
      </c>
      <c r="DY32" s="118">
        <f t="shared" si="39"/>
        <v>4.6071088825941535</v>
      </c>
      <c r="DZ32" s="118">
        <f t="shared" si="39"/>
        <v>3.2656344638496058</v>
      </c>
      <c r="EA32" s="118">
        <f t="shared" si="39"/>
        <v>3.9551261296168838</v>
      </c>
      <c r="EB32" s="118"/>
      <c r="EC32" s="118">
        <f t="shared" si="49"/>
        <v>1.668465618673177</v>
      </c>
      <c r="ED32" s="118">
        <f t="shared" si="49"/>
        <v>2.0293509137234813</v>
      </c>
      <c r="EE32" s="118">
        <f t="shared" si="49"/>
        <v>3.4277855471598242</v>
      </c>
      <c r="EF32" s="118">
        <f t="shared" si="49"/>
        <v>3.7659744620921125</v>
      </c>
      <c r="EG32" s="118"/>
      <c r="EH32" s="118">
        <f t="shared" si="7"/>
        <v>3.7659744620921125</v>
      </c>
      <c r="EI32" s="43">
        <f t="shared" si="40"/>
        <v>0.31637224638697908</v>
      </c>
      <c r="EJ32" s="43">
        <f t="shared" si="40"/>
        <v>0.25790709312134513</v>
      </c>
      <c r="EK32" s="43">
        <f t="shared" si="40"/>
        <v>0.29243519284081509</v>
      </c>
      <c r="EL32" s="43">
        <f t="shared" si="40"/>
        <v>0.39037981258250914</v>
      </c>
      <c r="EM32" s="43">
        <f t="shared" si="40"/>
        <v>0.2820819237888556</v>
      </c>
      <c r="EN32" s="43">
        <f t="shared" si="40"/>
        <v>0.20484409543944429</v>
      </c>
      <c r="EO32" s="43">
        <f t="shared" si="40"/>
        <v>0.22270926643462272</v>
      </c>
      <c r="EP32" s="43">
        <f t="shared" si="40"/>
        <v>0.28022228098299429</v>
      </c>
      <c r="EQ32" s="43">
        <f t="shared" si="40"/>
        <v>0.24117386851762299</v>
      </c>
      <c r="ER32" s="43">
        <f t="shared" si="40"/>
        <v>0.18332562087121992</v>
      </c>
      <c r="ES32" s="43">
        <f t="shared" si="40"/>
        <v>0.22637539718565594</v>
      </c>
      <c r="ET32" s="43">
        <f t="shared" si="40"/>
        <v>0.2155794438864379</v>
      </c>
      <c r="EU32" s="43"/>
      <c r="EV32" s="43">
        <f t="shared" si="42"/>
        <v>0.56170395628006919</v>
      </c>
      <c r="EW32" s="43">
        <f t="shared" si="42"/>
        <v>0.3072345825154249</v>
      </c>
      <c r="EX32" s="43">
        <f t="shared" si="42"/>
        <v>0.24299389904533003</v>
      </c>
      <c r="EY32" s="43">
        <f t="shared" si="42"/>
        <v>0.21439371333198465</v>
      </c>
      <c r="EZ32" s="43"/>
      <c r="FA32" s="43">
        <f t="shared" si="9"/>
        <v>0.21439371333198465</v>
      </c>
      <c r="FB32" s="120" t="str">
        <f t="shared" si="10"/>
        <v/>
      </c>
      <c r="FC32" s="52"/>
      <c r="FD32" s="122">
        <f t="shared" si="11"/>
        <v>693380</v>
      </c>
      <c r="FE32" s="66">
        <f>FD32/AO32-1</f>
        <v>5.1772547246943024E-2</v>
      </c>
      <c r="FF32" s="49">
        <f t="shared" si="12"/>
        <v>316352</v>
      </c>
      <c r="FG32" s="50">
        <f t="shared" si="46"/>
        <v>0.12146961752934371</v>
      </c>
      <c r="FH32" s="49">
        <f t="shared" si="13"/>
        <v>255423</v>
      </c>
      <c r="FI32" s="50">
        <f t="shared" si="47"/>
        <v>8.7096046544290706E-2</v>
      </c>
      <c r="FJ32" s="84">
        <f t="shared" si="14"/>
        <v>67823.88</v>
      </c>
      <c r="FK32" s="51">
        <f t="shared" si="15"/>
        <v>0.80740124924135137</v>
      </c>
      <c r="FL32" s="139">
        <f t="shared" si="16"/>
        <v>3.7659744620921125</v>
      </c>
      <c r="FM32" s="54">
        <f t="shared" si="48"/>
        <v>3.4277855471598242</v>
      </c>
      <c r="FN32" s="51">
        <f t="shared" si="18"/>
        <v>0.21439371333198465</v>
      </c>
      <c r="FO32" s="55" t="s">
        <v>40</v>
      </c>
      <c r="FP32" s="124" t="s">
        <v>66</v>
      </c>
      <c r="FR32" s="125" t="s">
        <v>113</v>
      </c>
      <c r="FS32" s="126" t="s">
        <v>113</v>
      </c>
      <c r="FT32" s="12" t="s">
        <v>249</v>
      </c>
      <c r="FU32" s="12" t="s">
        <v>316</v>
      </c>
      <c r="FX32" s="59" t="s">
        <v>252</v>
      </c>
    </row>
    <row r="33" spans="1:180" x14ac:dyDescent="0.25">
      <c r="A33" s="36" t="s">
        <v>317</v>
      </c>
      <c r="B33" s="37" t="s">
        <v>318</v>
      </c>
      <c r="C33" s="37" t="str">
        <f>INDEX('[1]Property Summary'!A:A,MATCH($A33,'[1]Property Summary'!$AC:$AC,FALSE))</f>
        <v>2621 North Bolton Avenue</v>
      </c>
      <c r="D33" s="37" t="str">
        <f>INDEX('[1]Property Summary'!B:B,MATCH($A33,'[1]Property Summary'!$AC:$AC,FALSE))</f>
        <v>Alexandria</v>
      </c>
      <c r="E33" s="37" t="str">
        <f>INDEX('[1]Property Summary'!C:C,MATCH($A33,'[1]Property Summary'!$AC:$AC,FALSE))</f>
        <v>LA</v>
      </c>
      <c r="F33" s="37">
        <f>INDEX('[1]Property Summary'!D:D,MATCH($A33,'[1]Property Summary'!$AC:$AC,FALSE))</f>
        <v>71303</v>
      </c>
      <c r="G33" s="37" t="str">
        <f>INDEX('[1]Property Summary'!E:E,MATCH($A33,'[1]Property Summary'!$AC:$AC,FALSE))</f>
        <v>Oceans Healthcare</v>
      </c>
      <c r="H33" s="37" t="str">
        <f>INDEX('[1]Property Summary'!F:F,MATCH($A33,'[1]Property Summary'!$AC:$AC,FALSE))</f>
        <v>Oceans Acquisition, Inc.</v>
      </c>
      <c r="I33" s="83" t="str">
        <f>INDEX('[1]Property Summary'!H:H,MATCH($A33,'[1]Property Summary'!$AC:$AC,FALSE))</f>
        <v>Health Care</v>
      </c>
      <c r="AR33" s="39">
        <v>1791681</v>
      </c>
      <c r="AS33" s="39">
        <v>1865050</v>
      </c>
      <c r="AT33" s="39">
        <v>1855093</v>
      </c>
      <c r="AU33" s="39">
        <v>1882656</v>
      </c>
      <c r="AV33" s="39">
        <v>1977046</v>
      </c>
      <c r="AW33" s="39">
        <v>1986312</v>
      </c>
      <c r="AX33" s="39">
        <v>2033503</v>
      </c>
      <c r="AY33" s="39">
        <v>2008810</v>
      </c>
      <c r="AZ33" s="39">
        <v>1908184</v>
      </c>
      <c r="BA33" s="39">
        <v>2283984</v>
      </c>
      <c r="BB33" s="39">
        <v>2222688</v>
      </c>
      <c r="BC33" s="39">
        <v>1997183</v>
      </c>
      <c r="BF33" s="39">
        <f>SUM(AR33:AU33)</f>
        <v>7394480</v>
      </c>
      <c r="BG33" s="39">
        <f>SUM(AV33:AY33)</f>
        <v>8005671</v>
      </c>
      <c r="BH33" s="39">
        <f>SUM(AZ33:BC33)</f>
        <v>8412039</v>
      </c>
      <c r="BJ33" s="39">
        <f t="shared" si="37"/>
        <v>8412039</v>
      </c>
      <c r="BK33" s="39">
        <v>485085.29</v>
      </c>
      <c r="BL33" s="39">
        <v>526206.29</v>
      </c>
      <c r="BM33" s="39">
        <v>417211.07</v>
      </c>
      <c r="BN33" s="39">
        <v>426437.96</v>
      </c>
      <c r="BO33" s="39">
        <v>566194.96</v>
      </c>
      <c r="BP33" s="39">
        <v>490280.96000000002</v>
      </c>
      <c r="BQ33" s="39">
        <v>526532.08000000007</v>
      </c>
      <c r="BR33" s="39">
        <v>472646.14</v>
      </c>
      <c r="BT33" s="39">
        <f>249841+CL33</f>
        <v>356612.14</v>
      </c>
      <c r="BU33" s="39">
        <f>555439+CM33</f>
        <v>662210.14</v>
      </c>
      <c r="BV33" s="39">
        <v>526746.66</v>
      </c>
      <c r="BW33" s="39">
        <v>315029</v>
      </c>
      <c r="BY33" s="39">
        <f>SUM(BK33:BN33)</f>
        <v>1854940.61</v>
      </c>
      <c r="BZ33" s="39">
        <f>SUM(BO33:BR33)</f>
        <v>2055654.1400000001</v>
      </c>
      <c r="CA33" s="39">
        <f>SUM(BT33:BW33)</f>
        <v>1860597.94</v>
      </c>
      <c r="CC33" s="39">
        <f>SUM(BT33:BW33)</f>
        <v>1860597.94</v>
      </c>
      <c r="CD33" s="39">
        <v>101626.29000000001</v>
      </c>
      <c r="CE33" s="39">
        <v>101626.29000000001</v>
      </c>
      <c r="CF33" s="39">
        <v>103320.07</v>
      </c>
      <c r="CG33" s="39">
        <v>104166.95999999999</v>
      </c>
      <c r="CH33" s="39">
        <v>104166.95999999999</v>
      </c>
      <c r="CI33" s="39">
        <v>104166.95999999999</v>
      </c>
      <c r="CJ33" s="39">
        <v>105903.07999999999</v>
      </c>
      <c r="CK33" s="39">
        <v>106771.13999999998</v>
      </c>
      <c r="CL33" s="39">
        <v>106771.13999999998</v>
      </c>
      <c r="CM33" s="39">
        <v>106771.13999999998</v>
      </c>
      <c r="CN33" s="39">
        <v>108551</v>
      </c>
      <c r="CO33" s="39">
        <v>109440</v>
      </c>
      <c r="CQ33" s="39">
        <v>400721.55</v>
      </c>
      <c r="CR33" s="39">
        <f t="shared" si="29"/>
        <v>410739.61</v>
      </c>
      <c r="CS33" s="39">
        <f t="shared" si="30"/>
        <v>421008.14</v>
      </c>
      <c r="CT33" s="39">
        <f t="shared" si="44"/>
        <v>431533.27999999997</v>
      </c>
      <c r="CV33" s="39">
        <f t="shared" si="45"/>
        <v>431533.27999999997</v>
      </c>
      <c r="CW33" s="43">
        <f t="shared" si="2"/>
        <v>0.27074311219463731</v>
      </c>
      <c r="CX33" s="43">
        <f t="shared" si="2"/>
        <v>0.28214058068148307</v>
      </c>
      <c r="CY33" s="43">
        <f t="shared" si="2"/>
        <v>0.22490035270468919</v>
      </c>
      <c r="CZ33" s="43">
        <f t="shared" si="2"/>
        <v>0.22650869834956572</v>
      </c>
      <c r="DA33" s="43">
        <f t="shared" si="2"/>
        <v>0.28638431275751802</v>
      </c>
      <c r="DB33" s="43">
        <f t="shared" si="2"/>
        <v>0.24682978303509218</v>
      </c>
      <c r="DC33" s="43">
        <f t="shared" si="2"/>
        <v>0.25892859759734804</v>
      </c>
      <c r="DD33" s="43">
        <f t="shared" si="2"/>
        <v>0.23528663238434697</v>
      </c>
      <c r="DE33" s="43">
        <f t="shared" si="38"/>
        <v>0.18688561480444235</v>
      </c>
      <c r="DF33" s="43">
        <f t="shared" si="38"/>
        <v>0.28993641811851573</v>
      </c>
      <c r="DG33" s="43">
        <f t="shared" si="38"/>
        <v>0.23698632466634995</v>
      </c>
      <c r="DH33" s="43">
        <f t="shared" si="38"/>
        <v>0.1577366721026566</v>
      </c>
      <c r="DI33" s="43"/>
      <c r="DJ33" s="43" t="str">
        <f t="shared" si="41"/>
        <v/>
      </c>
      <c r="DK33" s="43">
        <f t="shared" si="41"/>
        <v>0.25085477410176243</v>
      </c>
      <c r="DL33" s="43">
        <f t="shared" si="41"/>
        <v>0.25677474630171537</v>
      </c>
      <c r="DM33" s="43">
        <f t="shared" si="41"/>
        <v>0.22118275248129496</v>
      </c>
      <c r="DN33" s="43"/>
      <c r="DO33" s="43">
        <f t="shared" si="4"/>
        <v>0.22118275248129496</v>
      </c>
      <c r="DP33" s="118">
        <f t="shared" si="32"/>
        <v>4.7732263964373782</v>
      </c>
      <c r="DQ33" s="118">
        <f t="shared" si="32"/>
        <v>5.177855946527222</v>
      </c>
      <c r="DR33" s="118">
        <f t="shared" si="32"/>
        <v>4.0380447864582356</v>
      </c>
      <c r="DS33" s="118">
        <f t="shared" si="32"/>
        <v>4.0937928878792285</v>
      </c>
      <c r="DT33" s="118">
        <f t="shared" si="32"/>
        <v>5.4354563097550317</v>
      </c>
      <c r="DU33" s="118">
        <f t="shared" si="32"/>
        <v>4.7066839619779639</v>
      </c>
      <c r="DV33" s="118">
        <f t="shared" si="32"/>
        <v>4.9718297144898917</v>
      </c>
      <c r="DW33" s="118">
        <f t="shared" si="32"/>
        <v>4.4267218651032483</v>
      </c>
      <c r="DX33" s="118">
        <f t="shared" si="39"/>
        <v>3.3399675230591344</v>
      </c>
      <c r="DY33" s="118">
        <f t="shared" si="39"/>
        <v>6.2021454486671219</v>
      </c>
      <c r="DZ33" s="118">
        <f t="shared" si="39"/>
        <v>4.8525270149514981</v>
      </c>
      <c r="EA33" s="118">
        <f t="shared" si="39"/>
        <v>2.8785544590643273</v>
      </c>
      <c r="EB33" s="118"/>
      <c r="EC33" s="118" t="str">
        <f t="shared" si="49"/>
        <v/>
      </c>
      <c r="ED33" s="118">
        <f t="shared" si="49"/>
        <v>4.5160986786738198</v>
      </c>
      <c r="EE33" s="118">
        <f t="shared" si="49"/>
        <v>4.8826945246236813</v>
      </c>
      <c r="EF33" s="118">
        <f t="shared" si="49"/>
        <v>4.3115977984363107</v>
      </c>
      <c r="EG33" s="118"/>
      <c r="EH33" s="118">
        <f t="shared" si="7"/>
        <v>4.3115977984363107</v>
      </c>
      <c r="EI33" s="43">
        <f t="shared" si="40"/>
        <v>5.6721196462986442E-2</v>
      </c>
      <c r="EJ33" s="43">
        <f t="shared" si="40"/>
        <v>5.4489847457172731E-2</v>
      </c>
      <c r="EK33" s="43">
        <f t="shared" si="40"/>
        <v>5.5695358669349736E-2</v>
      </c>
      <c r="EL33" s="43">
        <f t="shared" si="40"/>
        <v>5.5329789403905968E-2</v>
      </c>
      <c r="EM33" s="43">
        <f t="shared" si="40"/>
        <v>5.2688182267888552E-2</v>
      </c>
      <c r="EN33" s="43">
        <f t="shared" si="40"/>
        <v>5.2442395756557875E-2</v>
      </c>
      <c r="EO33" s="43">
        <f t="shared" si="40"/>
        <v>5.2079136347475262E-2</v>
      </c>
      <c r="EP33" s="43">
        <f t="shared" si="40"/>
        <v>5.31514379159801E-2</v>
      </c>
      <c r="EQ33" s="43">
        <f t="shared" si="40"/>
        <v>5.5954320966950771E-2</v>
      </c>
      <c r="ER33" s="43">
        <f t="shared" si="40"/>
        <v>4.6747761805686898E-2</v>
      </c>
      <c r="ES33" s="43">
        <f t="shared" si="40"/>
        <v>4.883771361522625E-2</v>
      </c>
      <c r="ET33" s="43">
        <f t="shared" si="40"/>
        <v>5.4797181830608409E-2</v>
      </c>
      <c r="EU33" s="43"/>
      <c r="EV33" s="43" t="str">
        <f t="shared" si="42"/>
        <v/>
      </c>
      <c r="EW33" s="43">
        <f t="shared" si="42"/>
        <v>5.5546787603726021E-2</v>
      </c>
      <c r="EX33" s="43">
        <f t="shared" si="42"/>
        <v>5.2588738657883896E-2</v>
      </c>
      <c r="EY33" s="43">
        <f t="shared" si="42"/>
        <v>5.1299486367098392E-2</v>
      </c>
      <c r="EZ33" s="43"/>
      <c r="FA33" s="43">
        <f t="shared" si="9"/>
        <v>5.1299486367098392E-2</v>
      </c>
      <c r="FB33" s="120" t="str">
        <f t="shared" si="10"/>
        <v/>
      </c>
      <c r="FC33" s="52"/>
      <c r="FD33" s="122" t="str">
        <f t="shared" si="11"/>
        <v/>
      </c>
      <c r="FE33" s="123"/>
      <c r="FF33" s="49">
        <f t="shared" si="12"/>
        <v>8412039</v>
      </c>
      <c r="FG33" s="50">
        <f t="shared" si="46"/>
        <v>5.0760017492599951E-2</v>
      </c>
      <c r="FH33" s="49">
        <f t="shared" si="13"/>
        <v>1860597.94</v>
      </c>
      <c r="FI33" s="50">
        <f t="shared" si="47"/>
        <v>-9.4887654593491133E-2</v>
      </c>
      <c r="FJ33" s="84">
        <f t="shared" si="14"/>
        <v>431533.27999999997</v>
      </c>
      <c r="FK33" s="51">
        <f t="shared" si="15"/>
        <v>0.22118275248129496</v>
      </c>
      <c r="FL33" s="139">
        <f t="shared" si="16"/>
        <v>4.3115977984363107</v>
      </c>
      <c r="FM33" s="54">
        <f t="shared" si="48"/>
        <v>4.8826945246236813</v>
      </c>
      <c r="FN33" s="51">
        <f t="shared" si="18"/>
        <v>5.1299486367098392E-2</v>
      </c>
      <c r="FO33" s="142" t="s">
        <v>40</v>
      </c>
      <c r="FP33" s="124" t="s">
        <v>66</v>
      </c>
      <c r="FR33" s="125" t="s">
        <v>113</v>
      </c>
      <c r="FS33" s="126" t="s">
        <v>113</v>
      </c>
      <c r="FT33" s="12" t="s">
        <v>280</v>
      </c>
      <c r="FU33" s="12" t="s">
        <v>319</v>
      </c>
      <c r="FV33" s="12" t="s">
        <v>113</v>
      </c>
      <c r="FX33" s="59" t="s">
        <v>241</v>
      </c>
    </row>
    <row r="34" spans="1:180" x14ac:dyDescent="0.25">
      <c r="A34" s="36" t="s">
        <v>320</v>
      </c>
      <c r="B34" s="37" t="s">
        <v>311</v>
      </c>
      <c r="C34" s="37" t="str">
        <f>INDEX('[1]Property Summary'!A:A,MATCH($A34,'[1]Property Summary'!$AC:$AC,FALSE))</f>
        <v>99 East 5th Street</v>
      </c>
      <c r="D34" s="37" t="str">
        <f>INDEX('[1]Property Summary'!B:B,MATCH($A34,'[1]Property Summary'!$AC:$AC,FALSE))</f>
        <v>Douglas (14184)</v>
      </c>
      <c r="E34" s="37" t="str">
        <f>INDEX('[1]Property Summary'!C:C,MATCH($A34,'[1]Property Summary'!$AC:$AC,FALSE))</f>
        <v>AZ</v>
      </c>
      <c r="F34" s="37">
        <f>INDEX('[1]Property Summary'!D:D,MATCH($A34,'[1]Property Summary'!$AC:$AC,FALSE))</f>
        <v>85607</v>
      </c>
      <c r="G34" s="37" t="str">
        <f>INDEX('[1]Property Summary'!E:E,MATCH($A34,'[1]Property Summary'!$AC:$AC,FALSE))</f>
        <v>Burger King</v>
      </c>
      <c r="H34" s="37" t="str">
        <f>INDEX('[1]Property Summary'!F:F,MATCH($A34,'[1]Property Summary'!$AC:$AC,FALSE))</f>
        <v>Kraf, Inc.</v>
      </c>
      <c r="I34" s="83" t="str">
        <f>INDEX('[1]Property Summary'!H:H,MATCH($A34,'[1]Property Summary'!$AC:$AC,FALSE))</f>
        <v>Restaurants</v>
      </c>
      <c r="AU34" s="39">
        <v>511459.91000000003</v>
      </c>
      <c r="AV34" s="39">
        <v>541641.43999999994</v>
      </c>
      <c r="AW34" s="39">
        <v>587866.14</v>
      </c>
      <c r="AX34" s="39">
        <v>601507.91</v>
      </c>
      <c r="AY34" s="39">
        <f>BG34-SUM(AV34:AX34)</f>
        <v>597148.50999999978</v>
      </c>
      <c r="AZ34" s="39">
        <v>547291.89</v>
      </c>
      <c r="BA34" s="39">
        <v>567232.77</v>
      </c>
      <c r="BB34" s="39">
        <f>186779+194427+180263</f>
        <v>561469</v>
      </c>
      <c r="BC34" s="39">
        <f>BH34-SUM(AZ34:BB34)</f>
        <v>604969.33999999985</v>
      </c>
      <c r="BE34" s="39">
        <v>2139409</v>
      </c>
      <c r="BF34" s="39">
        <v>2176257</v>
      </c>
      <c r="BG34" s="39">
        <v>2328164</v>
      </c>
      <c r="BH34" s="39">
        <v>2280963</v>
      </c>
      <c r="BJ34" s="39">
        <f t="shared" si="37"/>
        <v>2280963</v>
      </c>
      <c r="BN34" s="39">
        <v>147743.16000000003</v>
      </c>
      <c r="BO34" s="39">
        <v>173067.18999999994</v>
      </c>
      <c r="BP34" s="39">
        <v>186486.24999999994</v>
      </c>
      <c r="BQ34" s="39">
        <v>189238.45</v>
      </c>
      <c r="BR34" s="39">
        <f>BZ34-SUM(BO34:BQ34)</f>
        <v>165167.1100000001</v>
      </c>
      <c r="BT34" s="39">
        <f>36437.4+128058.02</f>
        <v>164495.42000000001</v>
      </c>
      <c r="BU34" s="39">
        <f>126559.68+36437.4</f>
        <v>162997.07999999999</v>
      </c>
      <c r="BV34" s="39">
        <f>39459+40848+36895+12146+12146+12146</f>
        <v>153640</v>
      </c>
      <c r="BW34" s="39">
        <f>12145+12753+12297+36945+30640+61749</f>
        <v>166529</v>
      </c>
      <c r="BX34" s="39">
        <f>377021+CQ34</f>
        <v>514325.76000000001</v>
      </c>
      <c r="BY34" s="39">
        <f>418645+CR34</f>
        <v>557666.02</v>
      </c>
      <c r="BZ34" s="39">
        <f>569259+144700</f>
        <v>713959</v>
      </c>
      <c r="CA34" s="39">
        <f>499317+146508</f>
        <v>645825</v>
      </c>
      <c r="CC34" s="39">
        <f>SUM(BT34:BW34)</f>
        <v>647661.5</v>
      </c>
      <c r="CD34" s="39">
        <v>34575.18</v>
      </c>
      <c r="CE34" s="39">
        <v>34575.18</v>
      </c>
      <c r="CF34" s="39">
        <v>34863.300000000003</v>
      </c>
      <c r="CG34" s="39">
        <v>35007.360000000001</v>
      </c>
      <c r="CH34" s="39">
        <v>35007.360000000001</v>
      </c>
      <c r="CI34" s="39">
        <v>35007.360000000001</v>
      </c>
      <c r="CJ34" s="39">
        <v>35299.08</v>
      </c>
      <c r="CK34" s="39">
        <v>35444.94</v>
      </c>
      <c r="CL34" s="39">
        <v>35444.94</v>
      </c>
      <c r="CM34" s="39">
        <v>35444.94</v>
      </c>
      <c r="CN34" s="39">
        <v>35593</v>
      </c>
      <c r="CO34" s="39">
        <f>12145+12753+12297</f>
        <v>37195</v>
      </c>
      <c r="CQ34" s="39">
        <v>137304.76</v>
      </c>
      <c r="CR34" s="39">
        <f t="shared" si="29"/>
        <v>139021.02000000002</v>
      </c>
      <c r="CS34" s="39">
        <f t="shared" si="30"/>
        <v>140758.74</v>
      </c>
      <c r="CT34" s="39">
        <f t="shared" si="44"/>
        <v>143677.88</v>
      </c>
      <c r="CV34" s="39">
        <f t="shared" si="45"/>
        <v>143677.88</v>
      </c>
      <c r="CW34" s="43" t="str">
        <f t="shared" si="2"/>
        <v/>
      </c>
      <c r="CX34" s="43" t="str">
        <f t="shared" si="2"/>
        <v/>
      </c>
      <c r="CY34" s="43" t="str">
        <f t="shared" si="2"/>
        <v/>
      </c>
      <c r="CZ34" s="43">
        <f t="shared" si="2"/>
        <v>0.28886557306123961</v>
      </c>
      <c r="DA34" s="43">
        <f t="shared" si="2"/>
        <v>0.31952353941013073</v>
      </c>
      <c r="DB34" s="43">
        <f t="shared" si="2"/>
        <v>0.31722570379712622</v>
      </c>
      <c r="DC34" s="43">
        <f t="shared" si="2"/>
        <v>0.31460675222043216</v>
      </c>
      <c r="DD34" s="43">
        <f t="shared" si="2"/>
        <v>0.27659302038616851</v>
      </c>
      <c r="DE34" s="43">
        <f t="shared" si="38"/>
        <v>0.30056250239702986</v>
      </c>
      <c r="DF34" s="43">
        <f t="shared" si="38"/>
        <v>0.28735483671015688</v>
      </c>
      <c r="DG34" s="43">
        <f t="shared" si="38"/>
        <v>0.2736393282621124</v>
      </c>
      <c r="DH34" s="43">
        <f t="shared" si="38"/>
        <v>0.27526849542490872</v>
      </c>
      <c r="DI34" s="43"/>
      <c r="DJ34" s="43">
        <f t="shared" si="41"/>
        <v>0.24040553255595354</v>
      </c>
      <c r="DK34" s="43">
        <f t="shared" si="41"/>
        <v>0.25625007524387056</v>
      </c>
      <c r="DL34" s="43">
        <f t="shared" si="41"/>
        <v>0.30666181592018432</v>
      </c>
      <c r="DM34" s="43">
        <f t="shared" si="41"/>
        <v>0.28313699082361266</v>
      </c>
      <c r="DN34" s="43"/>
      <c r="DO34" s="43">
        <f t="shared" si="4"/>
        <v>0.28394213321303324</v>
      </c>
      <c r="DP34" s="118" t="str">
        <f t="shared" si="32"/>
        <v/>
      </c>
      <c r="DQ34" s="118" t="str">
        <f t="shared" si="32"/>
        <v/>
      </c>
      <c r="DR34" s="118" t="str">
        <f t="shared" si="32"/>
        <v/>
      </c>
      <c r="DS34" s="118">
        <f t="shared" si="32"/>
        <v>4.2203456644545616</v>
      </c>
      <c r="DT34" s="118">
        <f t="shared" si="32"/>
        <v>4.9437372598219333</v>
      </c>
      <c r="DU34" s="118">
        <f t="shared" si="32"/>
        <v>5.3270583671547911</v>
      </c>
      <c r="DV34" s="118">
        <f t="shared" si="32"/>
        <v>5.3610023264062407</v>
      </c>
      <c r="DW34" s="118">
        <f t="shared" si="32"/>
        <v>4.6598219661254916</v>
      </c>
      <c r="DX34" s="118">
        <f t="shared" si="39"/>
        <v>4.6408717295049735</v>
      </c>
      <c r="DY34" s="118">
        <f t="shared" si="39"/>
        <v>4.598599405161921</v>
      </c>
      <c r="DZ34" s="118">
        <f t="shared" si="39"/>
        <v>4.3165791026325397</v>
      </c>
      <c r="EA34" s="118">
        <f t="shared" si="39"/>
        <v>4.4771877940583416</v>
      </c>
      <c r="EB34" s="118"/>
      <c r="EC34" s="118">
        <f t="shared" si="49"/>
        <v>3.7458698445705743</v>
      </c>
      <c r="ED34" s="118">
        <f t="shared" si="49"/>
        <v>4.0113791425210374</v>
      </c>
      <c r="EE34" s="118">
        <f t="shared" si="49"/>
        <v>5.0722178956702795</v>
      </c>
      <c r="EF34" s="118">
        <f t="shared" si="49"/>
        <v>4.494950788527782</v>
      </c>
      <c r="EG34" s="118"/>
      <c r="EH34" s="118">
        <f t="shared" si="7"/>
        <v>4.5077328535192747</v>
      </c>
      <c r="EI34" s="43" t="str">
        <f t="shared" si="40"/>
        <v/>
      </c>
      <c r="EJ34" s="43" t="str">
        <f t="shared" si="40"/>
        <v/>
      </c>
      <c r="EK34" s="43" t="str">
        <f t="shared" si="40"/>
        <v/>
      </c>
      <c r="EL34" s="43">
        <f t="shared" si="40"/>
        <v>6.8445951120587337E-2</v>
      </c>
      <c r="EM34" s="43">
        <f t="shared" si="40"/>
        <v>6.4631982368261939E-2</v>
      </c>
      <c r="EN34" s="43">
        <f t="shared" si="40"/>
        <v>5.9549883243828261E-2</v>
      </c>
      <c r="EO34" s="43">
        <f t="shared" si="40"/>
        <v>5.8684315556216046E-2</v>
      </c>
      <c r="EP34" s="43">
        <f t="shared" si="40"/>
        <v>5.9356993120522089E-2</v>
      </c>
      <c r="EQ34" s="43">
        <f t="shared" si="40"/>
        <v>6.4764233944705457E-2</v>
      </c>
      <c r="ER34" s="43">
        <f t="shared" si="40"/>
        <v>6.2487468768773709E-2</v>
      </c>
      <c r="ES34" s="43">
        <f t="shared" si="40"/>
        <v>6.3392636102794636E-2</v>
      </c>
      <c r="ET34" s="43">
        <f t="shared" si="40"/>
        <v>6.1482454631502495E-2</v>
      </c>
      <c r="EU34" s="43"/>
      <c r="EV34" s="43">
        <f t="shared" si="42"/>
        <v>6.4178826956416468E-2</v>
      </c>
      <c r="EW34" s="43">
        <f t="shared" si="42"/>
        <v>6.3880791652824107E-2</v>
      </c>
      <c r="EX34" s="43">
        <f t="shared" si="42"/>
        <v>6.0459117141232317E-2</v>
      </c>
      <c r="EY34" s="43">
        <f t="shared" si="42"/>
        <v>6.2990009044425532E-2</v>
      </c>
      <c r="EZ34" s="43"/>
      <c r="FA34" s="43">
        <f t="shared" si="9"/>
        <v>6.2990009044425532E-2</v>
      </c>
      <c r="FB34" s="120" t="str">
        <f t="shared" si="10"/>
        <v/>
      </c>
      <c r="FC34" s="52"/>
      <c r="FD34" s="122" t="str">
        <f t="shared" si="11"/>
        <v/>
      </c>
      <c r="FE34" s="123"/>
      <c r="FF34" s="49">
        <f t="shared" si="12"/>
        <v>2280963</v>
      </c>
      <c r="FG34" s="50">
        <f t="shared" si="46"/>
        <v>-2.0273915411457288E-2</v>
      </c>
      <c r="FH34" s="49">
        <f t="shared" si="13"/>
        <v>647661.5</v>
      </c>
      <c r="FI34" s="50">
        <f t="shared" si="47"/>
        <v>-9.2858973694567859E-2</v>
      </c>
      <c r="FJ34" s="84">
        <f t="shared" si="14"/>
        <v>143677.88</v>
      </c>
      <c r="FK34" s="51">
        <f t="shared" si="15"/>
        <v>0.28394213321303324</v>
      </c>
      <c r="FL34" s="139">
        <f t="shared" si="16"/>
        <v>4.5077328535192747</v>
      </c>
      <c r="FM34" s="54">
        <f t="shared" si="48"/>
        <v>5.0722178956702795</v>
      </c>
      <c r="FN34" s="51">
        <f t="shared" si="18"/>
        <v>6.2990009044425532E-2</v>
      </c>
      <c r="FO34" s="55" t="s">
        <v>40</v>
      </c>
      <c r="FP34" s="124" t="s">
        <v>66</v>
      </c>
      <c r="FR34" s="125" t="s">
        <v>113</v>
      </c>
      <c r="FS34" s="126" t="s">
        <v>113</v>
      </c>
      <c r="FT34" s="12" t="s">
        <v>312</v>
      </c>
      <c r="FX34" s="59" t="s">
        <v>321</v>
      </c>
    </row>
    <row r="35" spans="1:180" x14ac:dyDescent="0.25">
      <c r="A35" s="36" t="s">
        <v>322</v>
      </c>
      <c r="B35" s="37" t="s">
        <v>235</v>
      </c>
      <c r="C35" s="37" t="str">
        <f>INDEX('[1]Property Summary'!A:A,MATCH($A35,'[1]Property Summary'!$AC:$AC,FALSE))</f>
        <v>4158 CR 218</v>
      </c>
      <c r="D35" s="37" t="str">
        <f>INDEX('[1]Property Summary'!B:B,MATCH($A35,'[1]Property Summary'!$AC:$AC,FALSE))</f>
        <v>Middleburg</v>
      </c>
      <c r="E35" s="37" t="str">
        <f>INDEX('[1]Property Summary'!C:C,MATCH($A35,'[1]Property Summary'!$AC:$AC,FALSE))</f>
        <v>FL</v>
      </c>
      <c r="F35" s="37">
        <f>INDEX('[1]Property Summary'!D:D,MATCH($A35,'[1]Property Summary'!$AC:$AC,FALSE))</f>
        <v>32068</v>
      </c>
      <c r="G35" s="37" t="str">
        <f>INDEX('[1]Property Summary'!E:E,MATCH($A35,'[1]Property Summary'!$AC:$AC,FALSE))</f>
        <v>Dominos</v>
      </c>
      <c r="H35" s="37" t="str">
        <f>INDEX('[1]Property Summary'!F:F,MATCH($A35,'[1]Property Summary'!$AC:$AC,FALSE))</f>
        <v>Perfect Pizza Pie, LLC</v>
      </c>
      <c r="I35" s="83" t="str">
        <f>INDEX('[1]Property Summary'!H:H,MATCH($A35,'[1]Property Summary'!$AC:$AC,FALSE))</f>
        <v>Restaurants</v>
      </c>
      <c r="AR35" s="39">
        <v>363961</v>
      </c>
      <c r="AS35" s="39">
        <v>378296</v>
      </c>
      <c r="AT35" s="39">
        <v>360056</v>
      </c>
      <c r="AU35" s="39">
        <f>BF35-SUM(AR35:AT35)</f>
        <v>512068</v>
      </c>
      <c r="AV35" s="39">
        <v>395081</v>
      </c>
      <c r="AW35" s="39">
        <v>405942</v>
      </c>
      <c r="AX35" s="39">
        <v>386809</v>
      </c>
      <c r="AY35" s="39">
        <v>506441.58</v>
      </c>
      <c r="AZ35" s="39">
        <v>410149.72</v>
      </c>
      <c r="BA35" s="39">
        <v>418397.13</v>
      </c>
      <c r="BB35" s="39">
        <v>353558</v>
      </c>
      <c r="BC35" s="39">
        <f>BH35-SUM(AZ35:BB35)</f>
        <v>433619.14999999991</v>
      </c>
      <c r="BD35" s="39">
        <v>319807.84999999998</v>
      </c>
      <c r="BE35" s="39">
        <v>1573442</v>
      </c>
      <c r="BF35" s="39">
        <v>1614381</v>
      </c>
      <c r="BG35" s="39">
        <f t="shared" ref="BG35:BG45" si="50">SUM(AV35:AY35)</f>
        <v>1694273.58</v>
      </c>
      <c r="BH35" s="39">
        <f>1615724</f>
        <v>1615724</v>
      </c>
      <c r="BJ35" s="39">
        <f>SUM(BA35:BD35)</f>
        <v>1525382.13</v>
      </c>
      <c r="BK35" s="39">
        <f>14071+13367+32756</f>
        <v>60194</v>
      </c>
      <c r="BL35" s="39">
        <f>20621+13367+34047</f>
        <v>68035</v>
      </c>
      <c r="BM35" s="39">
        <f>9380+13367+32405</f>
        <v>55152</v>
      </c>
      <c r="BN35" s="39">
        <f>BY35-SUM(BK35:BM35)</f>
        <v>50598</v>
      </c>
      <c r="BO35" s="39">
        <f>18038+13367+35557</f>
        <v>66962</v>
      </c>
      <c r="BP35" s="39">
        <f>24347+13366.74+36535</f>
        <v>74248.739999999991</v>
      </c>
      <c r="BQ35" s="39">
        <f>15907+13367+34813</f>
        <v>64087</v>
      </c>
      <c r="BR35" s="39">
        <f>14609+45580+17822</f>
        <v>78011</v>
      </c>
      <c r="BT35" s="39">
        <f>15339.49+36913.46+13366.74</f>
        <v>65619.69</v>
      </c>
      <c r="BU35" s="39">
        <f>25342.25+37655.72+13936.28</f>
        <v>76934.25</v>
      </c>
      <c r="BV35" s="39">
        <f>11040+31820+13721</f>
        <v>56581</v>
      </c>
      <c r="BW35" s="39">
        <f>CA35-SUM(BT35:BV35)</f>
        <v>72109.06</v>
      </c>
      <c r="BX35" s="39">
        <f>57400+141610+59598</f>
        <v>258608</v>
      </c>
      <c r="BY35" s="39">
        <f>233979</f>
        <v>233979</v>
      </c>
      <c r="BZ35" s="39">
        <f t="shared" ref="BZ35:BZ45" si="51">SUM(BO35:BR35)</f>
        <v>283308.74</v>
      </c>
      <c r="CA35" s="39">
        <f>66880+145415+58949</f>
        <v>271244</v>
      </c>
      <c r="CC35" s="39">
        <f>CA35</f>
        <v>271244</v>
      </c>
      <c r="CD35" s="39">
        <v>13533.300000000001</v>
      </c>
      <c r="CE35" s="39">
        <v>13713.744000000001</v>
      </c>
      <c r="CF35" s="39">
        <v>13803.966</v>
      </c>
      <c r="CG35" s="39">
        <v>13803.966</v>
      </c>
      <c r="CH35" s="39">
        <v>13803.966</v>
      </c>
      <c r="CI35" s="39">
        <v>13988.01888</v>
      </c>
      <c r="CJ35" s="39">
        <v>14080.045319999999</v>
      </c>
      <c r="CK35" s="39">
        <v>14080.045319999999</v>
      </c>
      <c r="CL35" s="39">
        <v>14080.045319999999</v>
      </c>
      <c r="CM35" s="39">
        <v>14268</v>
      </c>
      <c r="CN35" s="39">
        <v>14362</v>
      </c>
      <c r="CO35" s="39">
        <v>14362</v>
      </c>
      <c r="CQ35" s="39">
        <v>53779.359999999993</v>
      </c>
      <c r="CR35" s="39">
        <f t="shared" si="29"/>
        <v>54854.976000000002</v>
      </c>
      <c r="CS35" s="39">
        <f t="shared" si="30"/>
        <v>55952.075519999999</v>
      </c>
      <c r="CT35" s="39">
        <f t="shared" si="44"/>
        <v>57072.045319999997</v>
      </c>
      <c r="CV35" s="39">
        <f>CT35</f>
        <v>57072.045319999997</v>
      </c>
      <c r="CW35" s="43">
        <f t="shared" si="2"/>
        <v>0.16538585178082266</v>
      </c>
      <c r="CX35" s="43">
        <f t="shared" si="2"/>
        <v>0.17984594074481358</v>
      </c>
      <c r="CY35" s="43">
        <f t="shared" si="2"/>
        <v>0.15317617259537405</v>
      </c>
      <c r="CZ35" s="43">
        <f t="shared" si="2"/>
        <v>9.8811095401392005E-2</v>
      </c>
      <c r="DA35" s="43">
        <f t="shared" si="2"/>
        <v>0.16948929460034778</v>
      </c>
      <c r="DB35" s="43">
        <f t="shared" si="2"/>
        <v>0.18290479920776859</v>
      </c>
      <c r="DC35" s="43">
        <f t="shared" si="2"/>
        <v>0.16568125353856814</v>
      </c>
      <c r="DD35" s="43">
        <f t="shared" ref="DD35:DD76" si="52">IFERROR(BR35/AY35,"")</f>
        <v>0.15403751011123534</v>
      </c>
      <c r="DE35" s="43">
        <f t="shared" si="38"/>
        <v>0.15998960087062844</v>
      </c>
      <c r="DF35" s="43">
        <f t="shared" si="38"/>
        <v>0.1838785318627783</v>
      </c>
      <c r="DG35" s="43">
        <f t="shared" si="38"/>
        <v>0.16003314873372967</v>
      </c>
      <c r="DH35" s="43">
        <f t="shared" si="38"/>
        <v>0.16629583817965607</v>
      </c>
      <c r="DI35" s="43"/>
      <c r="DJ35" s="43">
        <f t="shared" si="41"/>
        <v>0.16435813967086171</v>
      </c>
      <c r="DK35" s="43">
        <f t="shared" si="41"/>
        <v>0.14493418839790606</v>
      </c>
      <c r="DL35" s="43">
        <f t="shared" si="41"/>
        <v>0.16721546233401099</v>
      </c>
      <c r="DM35" s="43">
        <f t="shared" si="41"/>
        <v>0.16787768207936504</v>
      </c>
      <c r="DN35" s="43"/>
      <c r="DO35" s="43">
        <f t="shared" si="4"/>
        <v>0.17782036033161083</v>
      </c>
      <c r="DP35" s="118">
        <f t="shared" si="32"/>
        <v>4.4478434675947476</v>
      </c>
      <c r="DQ35" s="118">
        <f t="shared" si="32"/>
        <v>4.9610813793811523</v>
      </c>
      <c r="DR35" s="118">
        <f t="shared" si="32"/>
        <v>3.9953735035278992</v>
      </c>
      <c r="DS35" s="118">
        <f t="shared" si="32"/>
        <v>3.6654683154102234</v>
      </c>
      <c r="DT35" s="118">
        <f t="shared" si="32"/>
        <v>4.8509247269951254</v>
      </c>
      <c r="DU35" s="118">
        <f t="shared" si="32"/>
        <v>5.3080240051834986</v>
      </c>
      <c r="DV35" s="118">
        <f t="shared" si="32"/>
        <v>4.5516188722040285</v>
      </c>
      <c r="DW35" s="118">
        <f t="shared" si="32"/>
        <v>5.5405361436720151</v>
      </c>
      <c r="DX35" s="118">
        <f t="shared" si="39"/>
        <v>4.6604743456891091</v>
      </c>
      <c r="DY35" s="118">
        <f t="shared" si="39"/>
        <v>5.3920836837678721</v>
      </c>
      <c r="DZ35" s="118">
        <f t="shared" si="39"/>
        <v>3.9396323631806154</v>
      </c>
      <c r="EA35" s="118">
        <f t="shared" si="39"/>
        <v>5.0208230051524856</v>
      </c>
      <c r="EB35" s="118"/>
      <c r="EC35" s="118">
        <f t="shared" si="49"/>
        <v>4.8086849676158296</v>
      </c>
      <c r="ED35" s="118">
        <f t="shared" si="49"/>
        <v>4.2654106712215132</v>
      </c>
      <c r="EE35" s="118">
        <f t="shared" si="49"/>
        <v>5.0634178869509787</v>
      </c>
      <c r="EF35" s="118">
        <f t="shared" si="49"/>
        <v>4.7526595284810442</v>
      </c>
      <c r="EG35" s="118"/>
      <c r="EH35" s="118">
        <f t="shared" si="7"/>
        <v>4.7526595284810442</v>
      </c>
      <c r="EI35" s="43">
        <f t="shared" si="40"/>
        <v>3.7183379537917526E-2</v>
      </c>
      <c r="EJ35" s="43">
        <f t="shared" si="40"/>
        <v>3.625135872438514E-2</v>
      </c>
      <c r="EK35" s="43">
        <f t="shared" si="40"/>
        <v>3.8338386251027617E-2</v>
      </c>
      <c r="EL35" s="43">
        <f t="shared" si="40"/>
        <v>2.6957290828561832E-2</v>
      </c>
      <c r="EM35" s="43">
        <f t="shared" si="40"/>
        <v>3.4939584540891619E-2</v>
      </c>
      <c r="EN35" s="43">
        <f t="shared" si="40"/>
        <v>3.4458171068773372E-2</v>
      </c>
      <c r="EO35" s="43">
        <f t="shared" si="40"/>
        <v>3.6400511156669049E-2</v>
      </c>
      <c r="EP35" s="43">
        <f t="shared" si="40"/>
        <v>2.7801914131932056E-2</v>
      </c>
      <c r="EQ35" s="43">
        <f t="shared" si="40"/>
        <v>3.4329037991297426E-2</v>
      </c>
      <c r="ER35" s="43">
        <f t="shared" si="40"/>
        <v>3.4101572350651643E-2</v>
      </c>
      <c r="ES35" s="43">
        <f t="shared" si="40"/>
        <v>4.0621340770114096E-2</v>
      </c>
      <c r="ET35" s="43">
        <f t="shared" si="40"/>
        <v>3.3121230923495892E-2</v>
      </c>
      <c r="EU35" s="43"/>
      <c r="EV35" s="43">
        <f t="shared" si="42"/>
        <v>3.417943591184168E-2</v>
      </c>
      <c r="EW35" s="43">
        <f t="shared" si="42"/>
        <v>3.3978952923752199E-2</v>
      </c>
      <c r="EX35" s="43">
        <f t="shared" si="42"/>
        <v>3.3024227126294443E-2</v>
      </c>
      <c r="EY35" s="43">
        <f t="shared" si="42"/>
        <v>3.5322892597993219E-2</v>
      </c>
      <c r="EZ35" s="43"/>
      <c r="FA35" s="43">
        <f t="shared" si="9"/>
        <v>3.7414916693694324E-2</v>
      </c>
      <c r="FB35" s="120" t="str">
        <f t="shared" si="10"/>
        <v/>
      </c>
      <c r="FC35" s="52"/>
      <c r="FD35" s="122" t="str">
        <f t="shared" si="11"/>
        <v/>
      </c>
      <c r="FE35" s="123"/>
      <c r="FF35" s="49">
        <f t="shared" si="12"/>
        <v>1525382.13</v>
      </c>
      <c r="FG35" s="50">
        <f t="shared" si="46"/>
        <v>-9.9683694530608324E-2</v>
      </c>
      <c r="FH35" s="49">
        <f t="shared" si="13"/>
        <v>271244</v>
      </c>
      <c r="FI35" s="50">
        <f t="shared" si="47"/>
        <v>-4.2585131683547717E-2</v>
      </c>
      <c r="FJ35" s="84">
        <f t="shared" si="14"/>
        <v>57072.045319999997</v>
      </c>
      <c r="FK35" s="51">
        <f t="shared" si="15"/>
        <v>0.17782036033161083</v>
      </c>
      <c r="FL35" s="139">
        <f t="shared" si="16"/>
        <v>4.7526595284810442</v>
      </c>
      <c r="FM35" s="54">
        <f t="shared" si="48"/>
        <v>5.0634178869509787</v>
      </c>
      <c r="FN35" s="51">
        <f t="shared" si="18"/>
        <v>3.7414916693694324E-2</v>
      </c>
      <c r="FO35" s="55" t="s">
        <v>40</v>
      </c>
      <c r="FP35" s="124" t="s">
        <v>66</v>
      </c>
      <c r="FR35" s="125" t="s">
        <v>113</v>
      </c>
      <c r="FS35" s="126" t="s">
        <v>113</v>
      </c>
      <c r="FT35" s="12" t="s">
        <v>268</v>
      </c>
      <c r="FU35" s="12" t="s">
        <v>269</v>
      </c>
      <c r="FV35" s="12" t="s">
        <v>270</v>
      </c>
      <c r="FX35" s="59"/>
    </row>
    <row r="36" spans="1:180" x14ac:dyDescent="0.25">
      <c r="A36" s="36" t="s">
        <v>323</v>
      </c>
      <c r="B36" s="37" t="s">
        <v>324</v>
      </c>
      <c r="C36" s="37" t="str">
        <f>INDEX('[1]Property Summary'!A:A,MATCH($A36,'[1]Property Summary'!$AC:$AC,FALSE))</f>
        <v>3300 South FM 1788</v>
      </c>
      <c r="D36" s="37" t="str">
        <f>INDEX('[1]Property Summary'!B:B,MATCH($A36,'[1]Property Summary'!$AC:$AC,FALSE))</f>
        <v>Midland</v>
      </c>
      <c r="E36" s="37" t="str">
        <f>INDEX('[1]Property Summary'!C:C,MATCH($A36,'[1]Property Summary'!$AC:$AC,FALSE))</f>
        <v>TX</v>
      </c>
      <c r="F36" s="37">
        <f>INDEX('[1]Property Summary'!D:D,MATCH($A36,'[1]Property Summary'!$AC:$AC,FALSE))</f>
        <v>79706</v>
      </c>
      <c r="G36" s="37" t="str">
        <f>INDEX('[1]Property Summary'!E:E,MATCH($A36,'[1]Property Summary'!$AC:$AC,FALSE))</f>
        <v>Oceans Healthcare</v>
      </c>
      <c r="H36" s="37" t="str">
        <f>INDEX('[1]Property Summary'!F:F,MATCH($A36,'[1]Property Summary'!$AC:$AC,FALSE))</f>
        <v>Oceans Acquisition, Inc.</v>
      </c>
      <c r="I36" s="83" t="str">
        <f>INDEX('[1]Property Summary'!H:H,MATCH($A36,'[1]Property Summary'!$AC:$AC,FALSE))</f>
        <v>Health Care</v>
      </c>
      <c r="AR36" s="39">
        <v>2590393</v>
      </c>
      <c r="AS36" s="39">
        <v>3214316</v>
      </c>
      <c r="AT36" s="39">
        <v>3850698</v>
      </c>
      <c r="AU36" s="39">
        <v>3463275</v>
      </c>
      <c r="AV36" s="39">
        <v>3646359</v>
      </c>
      <c r="AW36" s="39">
        <v>3742357</v>
      </c>
      <c r="AX36" s="39">
        <v>4242470</v>
      </c>
      <c r="AY36" s="39">
        <v>3845739</v>
      </c>
      <c r="AZ36" s="39">
        <v>3958212</v>
      </c>
      <c r="BA36" s="39">
        <v>4463062</v>
      </c>
      <c r="BB36" s="39">
        <v>4558321</v>
      </c>
      <c r="BC36" s="39">
        <v>4271105</v>
      </c>
      <c r="BF36" s="39">
        <f>SUM(AR36:AU36)</f>
        <v>13118682</v>
      </c>
      <c r="BG36" s="39">
        <f t="shared" si="50"/>
        <v>15476925</v>
      </c>
      <c r="BH36" s="39">
        <f t="shared" ref="BH36:BH45" si="53">SUM(AZ36:BC36)</f>
        <v>17250700</v>
      </c>
      <c r="BJ36" s="39">
        <f t="shared" ref="BJ36:BJ45" si="54">SUM(AZ36:BC36)</f>
        <v>17250700</v>
      </c>
      <c r="BK36" s="39">
        <v>234659.67606491665</v>
      </c>
      <c r="BL36" s="39">
        <v>623230.94645518472</v>
      </c>
      <c r="BM36" s="39">
        <v>1205902.569985721</v>
      </c>
      <c r="BN36" s="39">
        <v>796768.50560436957</v>
      </c>
      <c r="BO36" s="39">
        <v>915119.04999999993</v>
      </c>
      <c r="BP36" s="39">
        <v>829966.53</v>
      </c>
      <c r="BQ36" s="39">
        <v>1174281.49</v>
      </c>
      <c r="BR36" s="39">
        <v>909342.40999999992</v>
      </c>
      <c r="BT36" s="39">
        <f>708663+CL36</f>
        <v>931147.41</v>
      </c>
      <c r="BU36" s="39">
        <f>1055035+CM36</f>
        <v>1279188.04</v>
      </c>
      <c r="BV36" s="39">
        <v>1230961.2999999998</v>
      </c>
      <c r="BW36" s="39">
        <v>931039</v>
      </c>
      <c r="BY36" s="39">
        <f>SUM(BK36:BN36)</f>
        <v>2860561.6981101921</v>
      </c>
      <c r="BZ36" s="39">
        <f t="shared" si="51"/>
        <v>3828709.4800000004</v>
      </c>
      <c r="CA36" s="39">
        <f t="shared" ref="CA36:CA45" si="55">SUM(BT36:BW36)</f>
        <v>4372335.75</v>
      </c>
      <c r="CC36" s="39">
        <f t="shared" ref="CC36:CC45" si="56">SUM(BT36:BW36)</f>
        <v>4372335.75</v>
      </c>
      <c r="CD36" s="39">
        <v>148015.67606491665</v>
      </c>
      <c r="CE36" s="39">
        <v>179176.94645518478</v>
      </c>
      <c r="CF36" s="39">
        <v>197213.56998572103</v>
      </c>
      <c r="CG36" s="39">
        <v>209908.50560436959</v>
      </c>
      <c r="CH36" s="39">
        <v>216064.05000000002</v>
      </c>
      <c r="CI36" s="39">
        <v>217684.53000000003</v>
      </c>
      <c r="CJ36" s="39">
        <v>220925.49</v>
      </c>
      <c r="CK36" s="39">
        <v>222484.41</v>
      </c>
      <c r="CL36" s="39">
        <v>222484.41</v>
      </c>
      <c r="CM36" s="39">
        <v>224153.04</v>
      </c>
      <c r="CN36" s="39">
        <v>227490</v>
      </c>
      <c r="CO36" s="39">
        <v>227490</v>
      </c>
      <c r="CQ36" s="39">
        <v>734314.69811019208</v>
      </c>
      <c r="CR36" s="39">
        <f t="shared" si="29"/>
        <v>734314.69811019208</v>
      </c>
      <c r="CS36" s="39">
        <f t="shared" si="30"/>
        <v>877158.4800000001</v>
      </c>
      <c r="CT36" s="39">
        <f t="shared" si="44"/>
        <v>901617.45</v>
      </c>
      <c r="CV36" s="39">
        <f t="shared" ref="CV36:CV45" si="57">SUM(CL36:CO36)</f>
        <v>901617.45</v>
      </c>
      <c r="CW36" s="43">
        <f t="shared" ref="CW36:DC77" si="58">IFERROR(BK36/AR36,"")</f>
        <v>9.0588445870922546E-2</v>
      </c>
      <c r="CX36" s="43">
        <f t="shared" si="58"/>
        <v>0.19389224533467919</v>
      </c>
      <c r="CY36" s="43">
        <f t="shared" si="58"/>
        <v>0.31316467040150148</v>
      </c>
      <c r="CZ36" s="43">
        <f t="shared" si="58"/>
        <v>0.23006215377189787</v>
      </c>
      <c r="DA36" s="43">
        <f t="shared" si="58"/>
        <v>0.25096789701727118</v>
      </c>
      <c r="DB36" s="43">
        <f t="shared" si="58"/>
        <v>0.22177641790988942</v>
      </c>
      <c r="DC36" s="43">
        <f t="shared" si="58"/>
        <v>0.27679193724410545</v>
      </c>
      <c r="DD36" s="43">
        <f t="shared" si="52"/>
        <v>0.23645453058566895</v>
      </c>
      <c r="DE36" s="43">
        <f t="shared" si="38"/>
        <v>0.23524445128254878</v>
      </c>
      <c r="DF36" s="43">
        <f t="shared" si="38"/>
        <v>0.28661668603304191</v>
      </c>
      <c r="DG36" s="43">
        <f t="shared" si="38"/>
        <v>0.27004708531935329</v>
      </c>
      <c r="DH36" s="43">
        <f t="shared" si="38"/>
        <v>0.21798550960465735</v>
      </c>
      <c r="DI36" s="43"/>
      <c r="DJ36" s="43" t="str">
        <f t="shared" si="41"/>
        <v/>
      </c>
      <c r="DK36" s="43">
        <f t="shared" si="41"/>
        <v>0.21805252220537033</v>
      </c>
      <c r="DL36" s="43">
        <f t="shared" si="41"/>
        <v>0.24738179451021444</v>
      </c>
      <c r="DM36" s="43">
        <f t="shared" si="41"/>
        <v>0.25345845385984339</v>
      </c>
      <c r="DN36" s="43"/>
      <c r="DO36" s="43">
        <f t="shared" si="4"/>
        <v>0.25345845385984339</v>
      </c>
      <c r="DP36" s="118">
        <f t="shared" si="32"/>
        <v>1.5853704303725216</v>
      </c>
      <c r="DQ36" s="118">
        <f t="shared" si="32"/>
        <v>3.4782987364452347</v>
      </c>
      <c r="DR36" s="118">
        <f t="shared" si="32"/>
        <v>6.1147038212078035</v>
      </c>
      <c r="DS36" s="118">
        <f t="shared" si="32"/>
        <v>3.7957895193923172</v>
      </c>
      <c r="DT36" s="118">
        <f t="shared" si="32"/>
        <v>4.235406352884711</v>
      </c>
      <c r="DU36" s="118">
        <f t="shared" si="32"/>
        <v>3.8127033188807671</v>
      </c>
      <c r="DV36" s="118">
        <f t="shared" si="32"/>
        <v>5.3152829490159785</v>
      </c>
      <c r="DW36" s="118">
        <f t="shared" si="32"/>
        <v>4.0872185606173481</v>
      </c>
      <c r="DX36" s="118">
        <f t="shared" si="39"/>
        <v>4.185225427705249</v>
      </c>
      <c r="DY36" s="118">
        <f t="shared" si="39"/>
        <v>5.7067619515666621</v>
      </c>
      <c r="DZ36" s="118">
        <f t="shared" si="39"/>
        <v>5.4110567497472406</v>
      </c>
      <c r="EA36" s="118">
        <f t="shared" si="39"/>
        <v>4.0926590179788125</v>
      </c>
      <c r="EB36" s="118"/>
      <c r="EC36" s="118" t="str">
        <f t="shared" si="49"/>
        <v/>
      </c>
      <c r="ED36" s="118">
        <f t="shared" si="49"/>
        <v>3.895552826971922</v>
      </c>
      <c r="EE36" s="118">
        <f t="shared" si="49"/>
        <v>4.3649004909580311</v>
      </c>
      <c r="EF36" s="118">
        <f t="shared" si="49"/>
        <v>4.8494355893400245</v>
      </c>
      <c r="EG36" s="118"/>
      <c r="EH36" s="118">
        <f t="shared" si="7"/>
        <v>4.8494355893400245</v>
      </c>
      <c r="EI36" s="43">
        <f t="shared" si="40"/>
        <v>5.7140239363261347E-2</v>
      </c>
      <c r="EJ36" s="43">
        <f t="shared" si="40"/>
        <v>5.5743413670337569E-2</v>
      </c>
      <c r="EK36" s="43">
        <f t="shared" si="40"/>
        <v>5.1215018676022121E-2</v>
      </c>
      <c r="EL36" s="43">
        <f t="shared" si="40"/>
        <v>6.0609829021480995E-2</v>
      </c>
      <c r="EM36" s="43">
        <f t="shared" si="40"/>
        <v>5.9254738768179438E-2</v>
      </c>
      <c r="EN36" s="43">
        <f t="shared" si="40"/>
        <v>5.8167761653952314E-2</v>
      </c>
      <c r="EO36" s="43">
        <f t="shared" si="40"/>
        <v>5.2074732408243306E-2</v>
      </c>
      <c r="EP36" s="43">
        <f t="shared" si="40"/>
        <v>5.7852186536839864E-2</v>
      </c>
      <c r="EQ36" s="43">
        <f t="shared" si="40"/>
        <v>5.6208310722113922E-2</v>
      </c>
      <c r="ER36" s="43">
        <f t="shared" si="40"/>
        <v>5.0224047974238316E-2</v>
      </c>
      <c r="ES36" s="43">
        <f t="shared" si="40"/>
        <v>4.9906533567951883E-2</v>
      </c>
      <c r="ET36" s="43">
        <f t="shared" si="40"/>
        <v>5.3262563200857857E-2</v>
      </c>
      <c r="EU36" s="43"/>
      <c r="EV36" s="43" t="str">
        <f t="shared" si="42"/>
        <v/>
      </c>
      <c r="EW36" s="43">
        <f t="shared" si="42"/>
        <v>5.5974731158983201E-2</v>
      </c>
      <c r="EX36" s="43">
        <f t="shared" si="42"/>
        <v>5.6675242659636853E-2</v>
      </c>
      <c r="EY36" s="43">
        <f t="shared" si="42"/>
        <v>5.2265557339702153E-2</v>
      </c>
      <c r="EZ36" s="43"/>
      <c r="FA36" s="43">
        <f t="shared" si="9"/>
        <v>5.2265557339702153E-2</v>
      </c>
      <c r="FB36" s="120" t="str">
        <f t="shared" si="10"/>
        <v/>
      </c>
      <c r="FC36" s="52"/>
      <c r="FD36" s="122" t="str">
        <f t="shared" si="11"/>
        <v/>
      </c>
      <c r="FE36" s="123"/>
      <c r="FF36" s="49">
        <f t="shared" si="12"/>
        <v>17250700</v>
      </c>
      <c r="FG36" s="50">
        <f t="shared" si="46"/>
        <v>0.11460771438770934</v>
      </c>
      <c r="FH36" s="49">
        <f t="shared" si="13"/>
        <v>4372335.75</v>
      </c>
      <c r="FI36" s="50">
        <f t="shared" si="47"/>
        <v>0.14198681640373501</v>
      </c>
      <c r="FJ36" s="84">
        <f t="shared" si="14"/>
        <v>901617.45</v>
      </c>
      <c r="FK36" s="51">
        <f t="shared" si="15"/>
        <v>0.25345845385984339</v>
      </c>
      <c r="FL36" s="139">
        <f t="shared" si="16"/>
        <v>4.8494355893400245</v>
      </c>
      <c r="FM36" s="54">
        <f t="shared" si="48"/>
        <v>4.3649004909580311</v>
      </c>
      <c r="FN36" s="51">
        <f t="shared" si="18"/>
        <v>5.2265557339702153E-2</v>
      </c>
      <c r="FO36" s="142" t="s">
        <v>40</v>
      </c>
      <c r="FP36" s="124" t="s">
        <v>66</v>
      </c>
      <c r="FR36" s="125" t="s">
        <v>113</v>
      </c>
      <c r="FS36" s="126" t="s">
        <v>113</v>
      </c>
      <c r="FT36" s="12" t="s">
        <v>280</v>
      </c>
      <c r="FV36" s="12" t="s">
        <v>113</v>
      </c>
      <c r="FX36" s="59" t="s">
        <v>241</v>
      </c>
    </row>
    <row r="37" spans="1:180" x14ac:dyDescent="0.25">
      <c r="A37" s="36" t="s">
        <v>325</v>
      </c>
      <c r="B37" s="37" t="s">
        <v>318</v>
      </c>
      <c r="C37" s="37" t="str">
        <f>INDEX('[1]Property Summary'!A:A,MATCH($A37,'[1]Property Summary'!$AC:$AC,FALSE))</f>
        <v>1310 Heather Drive</v>
      </c>
      <c r="D37" s="37" t="str">
        <f>INDEX('[1]Property Summary'!B:B,MATCH($A37,'[1]Property Summary'!$AC:$AC,FALSE))</f>
        <v>Opelousas</v>
      </c>
      <c r="E37" s="37" t="str">
        <f>INDEX('[1]Property Summary'!C:C,MATCH($A37,'[1]Property Summary'!$AC:$AC,FALSE))</f>
        <v>LA</v>
      </c>
      <c r="F37" s="37">
        <f>INDEX('[1]Property Summary'!D:D,MATCH($A37,'[1]Property Summary'!$AC:$AC,FALSE))</f>
        <v>70570</v>
      </c>
      <c r="G37" s="37" t="str">
        <f>INDEX('[1]Property Summary'!E:E,MATCH($A37,'[1]Property Summary'!$AC:$AC,FALSE))</f>
        <v>Oceans Healthcare</v>
      </c>
      <c r="H37" s="37" t="str">
        <f>INDEX('[1]Property Summary'!F:F,MATCH($A37,'[1]Property Summary'!$AC:$AC,FALSE))</f>
        <v>Oceans Acquisition, Inc.</v>
      </c>
      <c r="I37" s="83" t="str">
        <f>INDEX('[1]Property Summary'!H:H,MATCH($A37,'[1]Property Summary'!$AC:$AC,FALSE))</f>
        <v>Health Care</v>
      </c>
      <c r="AR37" s="39">
        <v>1689234</v>
      </c>
      <c r="AS37" s="39">
        <v>1894807</v>
      </c>
      <c r="AT37" s="39">
        <v>1920137</v>
      </c>
      <c r="AU37" s="39">
        <v>1761425</v>
      </c>
      <c r="AV37" s="39">
        <v>1738349</v>
      </c>
      <c r="AW37" s="39">
        <v>1819332</v>
      </c>
      <c r="AX37" s="39">
        <v>1960837</v>
      </c>
      <c r="AY37" s="39">
        <v>1675658</v>
      </c>
      <c r="AZ37" s="39">
        <v>1790993</v>
      </c>
      <c r="BA37" s="39">
        <v>1961264</v>
      </c>
      <c r="BB37" s="39">
        <v>1895407</v>
      </c>
      <c r="BC37" s="39">
        <v>1722929</v>
      </c>
      <c r="BF37" s="39">
        <f>SUM(AR37:AU37)</f>
        <v>7265603</v>
      </c>
      <c r="BG37" s="39">
        <f t="shared" si="50"/>
        <v>7194176</v>
      </c>
      <c r="BH37" s="39">
        <f t="shared" si="53"/>
        <v>7370593</v>
      </c>
      <c r="BJ37" s="39">
        <f t="shared" si="54"/>
        <v>7370593</v>
      </c>
      <c r="BK37" s="39">
        <v>148509.32999999999</v>
      </c>
      <c r="BL37" s="39">
        <v>583064.32999999996</v>
      </c>
      <c r="BM37" s="39">
        <v>565501.09</v>
      </c>
      <c r="BN37" s="39">
        <v>398733.47</v>
      </c>
      <c r="BO37" s="39">
        <v>357708.47</v>
      </c>
      <c r="BP37" s="39">
        <v>419635.47</v>
      </c>
      <c r="BQ37" s="39">
        <v>514755.55000000005</v>
      </c>
      <c r="BR37" s="39">
        <v>303417.58999999997</v>
      </c>
      <c r="BT37" s="39">
        <f>241663+CL37</f>
        <v>310547.58999999997</v>
      </c>
      <c r="BU37" s="39">
        <f>366164+CM37</f>
        <v>435048.58999999997</v>
      </c>
      <c r="BV37" s="39">
        <v>380645.67000000004</v>
      </c>
      <c r="BW37" s="39">
        <v>231360</v>
      </c>
      <c r="BY37" s="39">
        <f>SUM(BK37:BN37)</f>
        <v>1695808.22</v>
      </c>
      <c r="BZ37" s="39">
        <f t="shared" si="51"/>
        <v>1595517.08</v>
      </c>
      <c r="CA37" s="39">
        <f t="shared" si="55"/>
        <v>1357601.85</v>
      </c>
      <c r="CC37" s="39">
        <f t="shared" si="56"/>
        <v>1357601.85</v>
      </c>
      <c r="CD37" s="39">
        <v>65565.33</v>
      </c>
      <c r="CE37" s="39">
        <v>65565.33</v>
      </c>
      <c r="CF37" s="39">
        <v>66658.090000000011</v>
      </c>
      <c r="CG37" s="39">
        <v>67204.47</v>
      </c>
      <c r="CH37" s="39">
        <v>67204.47</v>
      </c>
      <c r="CI37" s="39">
        <v>67204.47</v>
      </c>
      <c r="CJ37" s="39">
        <v>68324.55</v>
      </c>
      <c r="CK37" s="39">
        <v>68884.59</v>
      </c>
      <c r="CL37" s="39">
        <v>68884.59</v>
      </c>
      <c r="CM37" s="39">
        <v>68884.59</v>
      </c>
      <c r="CN37" s="39">
        <v>70033</v>
      </c>
      <c r="CO37" s="39">
        <v>70607</v>
      </c>
      <c r="CQ37" s="39">
        <v>258529.96999999997</v>
      </c>
      <c r="CR37" s="39">
        <f t="shared" si="29"/>
        <v>264993.21999999997</v>
      </c>
      <c r="CS37" s="39">
        <f t="shared" si="30"/>
        <v>271618.07999999996</v>
      </c>
      <c r="CT37" s="39">
        <f t="shared" si="44"/>
        <v>278409.18</v>
      </c>
      <c r="CV37" s="39">
        <f t="shared" si="57"/>
        <v>278409.18</v>
      </c>
      <c r="CW37" s="43">
        <f t="shared" si="58"/>
        <v>8.7915191145809271E-2</v>
      </c>
      <c r="CX37" s="43">
        <f t="shared" si="58"/>
        <v>0.3077170023121088</v>
      </c>
      <c r="CY37" s="43">
        <f t="shared" si="58"/>
        <v>0.29451080313540123</v>
      </c>
      <c r="CZ37" s="43">
        <f t="shared" si="58"/>
        <v>0.22636982556736732</v>
      </c>
      <c r="DA37" s="43">
        <f t="shared" si="58"/>
        <v>0.2057748300255012</v>
      </c>
      <c r="DB37" s="43">
        <f t="shared" si="58"/>
        <v>0.23065359703451596</v>
      </c>
      <c r="DC37" s="43">
        <f t="shared" si="58"/>
        <v>0.26251827663390687</v>
      </c>
      <c r="DD37" s="43">
        <f t="shared" si="52"/>
        <v>0.18107369761610065</v>
      </c>
      <c r="DE37" s="43">
        <f t="shared" si="38"/>
        <v>0.17339408361730055</v>
      </c>
      <c r="DF37" s="43">
        <f t="shared" si="38"/>
        <v>0.22182051472927661</v>
      </c>
      <c r="DG37" s="43">
        <f t="shared" si="38"/>
        <v>0.20082529504217303</v>
      </c>
      <c r="DH37" s="43">
        <f t="shared" si="38"/>
        <v>0.13428295652345512</v>
      </c>
      <c r="DI37" s="43"/>
      <c r="DJ37" s="43" t="str">
        <f t="shared" si="41"/>
        <v/>
      </c>
      <c r="DK37" s="43">
        <f t="shared" si="41"/>
        <v>0.23340226819439489</v>
      </c>
      <c r="DL37" s="43">
        <f t="shared" si="41"/>
        <v>0.22177898900443915</v>
      </c>
      <c r="DM37" s="43">
        <f t="shared" si="41"/>
        <v>0.18419167223044333</v>
      </c>
      <c r="DN37" s="43"/>
      <c r="DO37" s="43">
        <f t="shared" si="4"/>
        <v>0.18419167223044333</v>
      </c>
      <c r="DP37" s="118">
        <f t="shared" si="32"/>
        <v>2.2650588352106209</v>
      </c>
      <c r="DQ37" s="118">
        <f t="shared" si="32"/>
        <v>8.8928757012280713</v>
      </c>
      <c r="DR37" s="118">
        <f t="shared" si="32"/>
        <v>8.4836077661391123</v>
      </c>
      <c r="DS37" s="118">
        <f t="shared" si="32"/>
        <v>5.9331391200615071</v>
      </c>
      <c r="DT37" s="118">
        <f t="shared" si="32"/>
        <v>5.3226886544897978</v>
      </c>
      <c r="DU37" s="118">
        <f t="shared" si="32"/>
        <v>6.2441600982791767</v>
      </c>
      <c r="DV37" s="118">
        <f t="shared" si="32"/>
        <v>7.5339764403863621</v>
      </c>
      <c r="DW37" s="118">
        <f t="shared" si="32"/>
        <v>4.4047237560679386</v>
      </c>
      <c r="DX37" s="118">
        <f t="shared" si="39"/>
        <v>4.5082302152048808</v>
      </c>
      <c r="DY37" s="118">
        <f t="shared" si="39"/>
        <v>6.3156155825272382</v>
      </c>
      <c r="DZ37" s="118">
        <f t="shared" si="39"/>
        <v>5.4352329616038162</v>
      </c>
      <c r="EA37" s="118">
        <f t="shared" si="39"/>
        <v>3.2767289362244538</v>
      </c>
      <c r="EB37" s="118"/>
      <c r="EC37" s="118" t="str">
        <f t="shared" si="49"/>
        <v/>
      </c>
      <c r="ED37" s="118">
        <f t="shared" si="49"/>
        <v>6.3994400309562645</v>
      </c>
      <c r="EE37" s="118">
        <f t="shared" si="49"/>
        <v>5.8741195725998807</v>
      </c>
      <c r="EF37" s="118">
        <f t="shared" si="49"/>
        <v>4.8762826355079243</v>
      </c>
      <c r="EG37" s="118"/>
      <c r="EH37" s="118">
        <f t="shared" si="7"/>
        <v>4.8762826355079243</v>
      </c>
      <c r="EI37" s="43">
        <f t="shared" si="40"/>
        <v>3.8813645711606566E-2</v>
      </c>
      <c r="EJ37" s="43">
        <f t="shared" si="40"/>
        <v>3.4602642907694554E-2</v>
      </c>
      <c r="EK37" s="43">
        <f t="shared" si="40"/>
        <v>3.4715278128591869E-2</v>
      </c>
      <c r="EL37" s="43">
        <f t="shared" si="40"/>
        <v>3.8153466653419815E-2</v>
      </c>
      <c r="EM37" s="43">
        <f t="shared" si="40"/>
        <v>3.8659941128047361E-2</v>
      </c>
      <c r="EN37" s="43">
        <f t="shared" si="40"/>
        <v>3.693909083114022E-2</v>
      </c>
      <c r="EO37" s="43">
        <f t="shared" si="40"/>
        <v>3.4844584226021845E-2</v>
      </c>
      <c r="EP37" s="43">
        <f t="shared" si="40"/>
        <v>4.1108979278587872E-2</v>
      </c>
      <c r="EQ37" s="43">
        <f t="shared" si="40"/>
        <v>3.8461674612910265E-2</v>
      </c>
      <c r="ER37" s="43">
        <f t="shared" si="40"/>
        <v>3.512254851973013E-2</v>
      </c>
      <c r="ES37" s="43">
        <f t="shared" si="40"/>
        <v>3.6948792528464863E-2</v>
      </c>
      <c r="ET37" s="43">
        <f t="shared" si="40"/>
        <v>4.0980794913777645E-2</v>
      </c>
      <c r="EU37" s="43"/>
      <c r="EV37" s="43" t="str">
        <f t="shared" ref="EV37:EY58" si="59">IFERROR(CQ37/BE37,"")</f>
        <v/>
      </c>
      <c r="EW37" s="43">
        <f t="shared" si="59"/>
        <v>3.6472295554821808E-2</v>
      </c>
      <c r="EX37" s="43">
        <f t="shared" si="59"/>
        <v>3.7755273154284792E-2</v>
      </c>
      <c r="EY37" s="43">
        <f t="shared" si="59"/>
        <v>3.7772968877809426E-2</v>
      </c>
      <c r="EZ37" s="43"/>
      <c r="FA37" s="43">
        <f t="shared" si="9"/>
        <v>3.7772968877809426E-2</v>
      </c>
      <c r="FB37" s="120" t="str">
        <f t="shared" si="10"/>
        <v/>
      </c>
      <c r="FC37" s="52"/>
      <c r="FD37" s="122" t="str">
        <f t="shared" si="11"/>
        <v/>
      </c>
      <c r="FE37" s="123"/>
      <c r="FF37" s="49">
        <f t="shared" si="12"/>
        <v>7370593</v>
      </c>
      <c r="FG37" s="50">
        <f t="shared" si="46"/>
        <v>2.4522196843669075E-2</v>
      </c>
      <c r="FH37" s="49">
        <f t="shared" si="13"/>
        <v>1357601.85</v>
      </c>
      <c r="FI37" s="50">
        <f t="shared" si="47"/>
        <v>-0.14911481235913815</v>
      </c>
      <c r="FJ37" s="84">
        <f t="shared" si="14"/>
        <v>278409.18</v>
      </c>
      <c r="FK37" s="51">
        <f t="shared" si="15"/>
        <v>0.18419167223044333</v>
      </c>
      <c r="FL37" s="139">
        <f t="shared" si="16"/>
        <v>4.8762826355079243</v>
      </c>
      <c r="FM37" s="54">
        <f t="shared" si="48"/>
        <v>5.8741195725998807</v>
      </c>
      <c r="FN37" s="51">
        <f t="shared" si="18"/>
        <v>3.7772968877809426E-2</v>
      </c>
      <c r="FO37" s="142" t="s">
        <v>40</v>
      </c>
      <c r="FP37" s="124" t="s">
        <v>66</v>
      </c>
      <c r="FR37" s="125" t="s">
        <v>113</v>
      </c>
      <c r="FS37" s="126" t="s">
        <v>113</v>
      </c>
      <c r="FT37" s="12" t="s">
        <v>280</v>
      </c>
      <c r="FX37" s="59" t="s">
        <v>241</v>
      </c>
    </row>
    <row r="38" spans="1:180" x14ac:dyDescent="0.25">
      <c r="A38" s="36" t="s">
        <v>326</v>
      </c>
      <c r="B38" s="37" t="s">
        <v>256</v>
      </c>
      <c r="C38" s="37" t="str">
        <f>INDEX('[1]Property Summary'!A:A,MATCH($A38,'[1]Property Summary'!$AC:$AC,FALSE))</f>
        <v>105 E 7th St</v>
      </c>
      <c r="D38" s="37" t="str">
        <f>INDEX('[1]Property Summary'!B:B,MATCH($A38,'[1]Property Summary'!$AC:$AC,FALSE))</f>
        <v>Winfield</v>
      </c>
      <c r="E38" s="37" t="str">
        <f>INDEX('[1]Property Summary'!C:C,MATCH($A38,'[1]Property Summary'!$AC:$AC,FALSE))</f>
        <v>TX</v>
      </c>
      <c r="F38" s="37">
        <f>INDEX('[1]Property Summary'!D:D,MATCH($A38,'[1]Property Summary'!$AC:$AC,FALSE))</f>
        <v>75493</v>
      </c>
      <c r="G38" s="37" t="str">
        <f>INDEX('[1]Property Summary'!E:E,MATCH($A38,'[1]Property Summary'!$AC:$AC,FALSE))</f>
        <v>Exxon</v>
      </c>
      <c r="H38" s="37" t="str">
        <f>INDEX('[1]Property Summary'!F:F,MATCH($A38,'[1]Property Summary'!$AC:$AC,FALSE))</f>
        <v>Pinnacle Oil &amp; Gas Holdings, Inc.</v>
      </c>
      <c r="I38" s="83" t="str">
        <f>INDEX('[1]Property Summary'!H:H,MATCH($A38,'[1]Property Summary'!$AC:$AC,FALSE))</f>
        <v>Convenience Stores</v>
      </c>
      <c r="M38" s="39">
        <f>W38-1890652</f>
        <v>621317</v>
      </c>
      <c r="N38" s="39">
        <v>624259</v>
      </c>
      <c r="O38" s="39">
        <f>1242142-N38</f>
        <v>617883</v>
      </c>
      <c r="P38" s="39">
        <v>430274</v>
      </c>
      <c r="Q38" s="39">
        <v>456023</v>
      </c>
      <c r="R38" s="39">
        <v>434298</v>
      </c>
      <c r="S38" s="39">
        <v>542873</v>
      </c>
      <c r="T38" s="39">
        <v>538036</v>
      </c>
      <c r="U38" s="39">
        <v>471549</v>
      </c>
      <c r="V38" s="39">
        <v>2422350</v>
      </c>
      <c r="W38" s="39">
        <v>2511969</v>
      </c>
      <c r="X38" s="39">
        <f>SUM(N38:Q38)</f>
        <v>2128439</v>
      </c>
      <c r="Y38" s="39">
        <f>SUM(R38:U38)</f>
        <v>1986756</v>
      </c>
      <c r="Z38" s="39">
        <f>SUM(R38:U38)</f>
        <v>1986756</v>
      </c>
      <c r="AD38" s="117">
        <f>AN38-879745</f>
        <v>296399</v>
      </c>
      <c r="AG38" s="117">
        <v>148775</v>
      </c>
      <c r="AH38" s="117">
        <v>143812</v>
      </c>
      <c r="AI38" s="117">
        <v>145773</v>
      </c>
      <c r="AJ38" s="117">
        <v>146984</v>
      </c>
      <c r="AK38" s="117">
        <v>152345</v>
      </c>
      <c r="AL38" s="117">
        <v>131648</v>
      </c>
      <c r="AM38" s="117">
        <v>1143562</v>
      </c>
      <c r="AN38" s="117">
        <v>1176144</v>
      </c>
      <c r="AP38" s="117">
        <f>SUM(AI38:AL38)</f>
        <v>576750</v>
      </c>
      <c r="AQ38" s="117">
        <f>SUM(AI38:AL38)</f>
        <v>576750</v>
      </c>
      <c r="AR38" s="129"/>
      <c r="AU38" s="39">
        <f>6107593-5155040</f>
        <v>952553</v>
      </c>
      <c r="AV38" s="39">
        <v>1502601.72</v>
      </c>
      <c r="AW38" s="39">
        <f>2998828-AV38</f>
        <v>1496226.28</v>
      </c>
      <c r="AX38" s="39">
        <v>1170838.3800000001</v>
      </c>
      <c r="AY38" s="39">
        <v>1094142</v>
      </c>
      <c r="AZ38" s="39">
        <v>1468135</v>
      </c>
      <c r="BA38" s="39">
        <v>1898225</v>
      </c>
      <c r="BB38" s="39">
        <v>1870393</v>
      </c>
      <c r="BC38" s="39">
        <v>1689338</v>
      </c>
      <c r="BE38" s="39">
        <v>5735450</v>
      </c>
      <c r="BF38" s="39">
        <v>6107593</v>
      </c>
      <c r="BG38" s="39">
        <f t="shared" si="50"/>
        <v>5263808.38</v>
      </c>
      <c r="BH38" s="39">
        <f t="shared" si="53"/>
        <v>6926091</v>
      </c>
      <c r="BJ38" s="39">
        <f t="shared" si="54"/>
        <v>6926091</v>
      </c>
      <c r="BN38" s="39">
        <f>1332894-998523</f>
        <v>334371</v>
      </c>
      <c r="BO38" s="39">
        <v>349078</v>
      </c>
      <c r="BP38" s="39">
        <f>594120-BO38</f>
        <v>245042</v>
      </c>
      <c r="BQ38" s="39">
        <v>566956.15</v>
      </c>
      <c r="BR38" s="39">
        <v>469467</v>
      </c>
      <c r="BT38" s="39">
        <v>405273</v>
      </c>
      <c r="BU38" s="39">
        <v>579316.9</v>
      </c>
      <c r="BV38" s="39">
        <v>575776</v>
      </c>
      <c r="BW38" s="39">
        <v>491996</v>
      </c>
      <c r="BX38" s="39">
        <v>1167600</v>
      </c>
      <c r="BY38" s="39">
        <v>1332894</v>
      </c>
      <c r="BZ38" s="39">
        <f t="shared" si="51"/>
        <v>1630543.15</v>
      </c>
      <c r="CA38" s="39">
        <f t="shared" si="55"/>
        <v>2052361.9</v>
      </c>
      <c r="CC38" s="39">
        <f t="shared" si="56"/>
        <v>2052361.9</v>
      </c>
      <c r="CD38" s="39">
        <v>100250.01</v>
      </c>
      <c r="CE38" s="39">
        <v>100250.01</v>
      </c>
      <c r="CF38" s="39">
        <v>100250.01</v>
      </c>
      <c r="CG38" s="39">
        <v>100250.01</v>
      </c>
      <c r="CH38" s="39">
        <v>100250.01</v>
      </c>
      <c r="CI38" s="39">
        <v>100250.01</v>
      </c>
      <c r="CJ38" s="39">
        <v>100250.01</v>
      </c>
      <c r="CK38" s="39">
        <v>100250.01</v>
      </c>
      <c r="CL38" s="39">
        <v>100250.01</v>
      </c>
      <c r="CM38" s="39">
        <v>100250.01</v>
      </c>
      <c r="CN38" s="39">
        <v>103258</v>
      </c>
      <c r="CO38" s="39">
        <v>103257</v>
      </c>
      <c r="CQ38" s="39">
        <v>401000.04</v>
      </c>
      <c r="CR38" s="39">
        <f t="shared" si="29"/>
        <v>401000.04</v>
      </c>
      <c r="CS38" s="39">
        <f t="shared" si="30"/>
        <v>401000.04</v>
      </c>
      <c r="CT38" s="39">
        <f t="shared" si="44"/>
        <v>407015.02</v>
      </c>
      <c r="CV38" s="39">
        <f t="shared" si="57"/>
        <v>407015.02</v>
      </c>
      <c r="CW38" s="119" t="str">
        <f t="shared" si="58"/>
        <v/>
      </c>
      <c r="CX38" s="119" t="str">
        <f t="shared" si="58"/>
        <v/>
      </c>
      <c r="CY38" s="119" t="str">
        <f t="shared" si="58"/>
        <v/>
      </c>
      <c r="CZ38" s="119">
        <f t="shared" si="58"/>
        <v>0.35102613712832775</v>
      </c>
      <c r="DA38" s="119">
        <f t="shared" si="58"/>
        <v>0.23231571969716633</v>
      </c>
      <c r="DB38" s="119">
        <f t="shared" si="58"/>
        <v>0.16377335652732955</v>
      </c>
      <c r="DC38" s="119">
        <f t="shared" si="58"/>
        <v>0.48423092348578456</v>
      </c>
      <c r="DD38" s="119">
        <f t="shared" si="52"/>
        <v>0.42907319159670315</v>
      </c>
      <c r="DE38" s="119">
        <f t="shared" si="38"/>
        <v>0.27604614017103329</v>
      </c>
      <c r="DF38" s="119">
        <f t="shared" si="38"/>
        <v>0.30518874211434366</v>
      </c>
      <c r="DG38" s="119">
        <f t="shared" si="38"/>
        <v>0.30783690914155476</v>
      </c>
      <c r="DH38" s="119">
        <f t="shared" si="38"/>
        <v>0.29123597527552214</v>
      </c>
      <c r="DI38" s="119"/>
      <c r="DJ38" s="119">
        <f t="shared" si="41"/>
        <v>0.20357600537011045</v>
      </c>
      <c r="DK38" s="119">
        <f t="shared" si="41"/>
        <v>0.21823556350267609</v>
      </c>
      <c r="DL38" s="119">
        <f t="shared" si="41"/>
        <v>0.30976491397279926</v>
      </c>
      <c r="DM38" s="119">
        <f t="shared" si="41"/>
        <v>0.29632326517223062</v>
      </c>
      <c r="DN38" s="119"/>
      <c r="DO38" s="119">
        <f t="shared" si="4"/>
        <v>0.29632326517223062</v>
      </c>
      <c r="DP38" s="118" t="str">
        <f t="shared" si="32"/>
        <v/>
      </c>
      <c r="DQ38" s="118" t="str">
        <f t="shared" si="32"/>
        <v/>
      </c>
      <c r="DR38" s="118" t="str">
        <f t="shared" si="32"/>
        <v/>
      </c>
      <c r="DS38" s="118">
        <f t="shared" si="32"/>
        <v>3.3353712383669589</v>
      </c>
      <c r="DT38" s="118">
        <f t="shared" si="32"/>
        <v>3.4820744656284823</v>
      </c>
      <c r="DU38" s="118">
        <f t="shared" si="32"/>
        <v>2.4443089831113234</v>
      </c>
      <c r="DV38" s="118">
        <f t="shared" si="32"/>
        <v>5.6554223785114841</v>
      </c>
      <c r="DW38" s="118">
        <f t="shared" si="32"/>
        <v>4.6829621263878183</v>
      </c>
      <c r="DX38" s="118">
        <f t="shared" si="39"/>
        <v>4.0426230381423407</v>
      </c>
      <c r="DY38" s="118">
        <f t="shared" si="39"/>
        <v>5.7787216180826322</v>
      </c>
      <c r="DZ38" s="118">
        <f t="shared" si="39"/>
        <v>5.5760909566328998</v>
      </c>
      <c r="EA38" s="118">
        <f t="shared" si="39"/>
        <v>4.7647713956438791</v>
      </c>
      <c r="EB38" s="118"/>
      <c r="EC38" s="118">
        <f t="shared" si="49"/>
        <v>2.9117204078084384</v>
      </c>
      <c r="ED38" s="118">
        <f t="shared" si="49"/>
        <v>3.3239248554688423</v>
      </c>
      <c r="EE38" s="118">
        <f t="shared" si="49"/>
        <v>4.066191988409777</v>
      </c>
      <c r="EF38" s="118">
        <f t="shared" si="49"/>
        <v>5.0424721426742432</v>
      </c>
      <c r="EG38" s="118"/>
      <c r="EH38" s="118">
        <f t="shared" si="7"/>
        <v>5.0424721426742432</v>
      </c>
      <c r="EI38" s="119" t="str">
        <f t="shared" si="40"/>
        <v/>
      </c>
      <c r="EJ38" s="119" t="str">
        <f t="shared" si="40"/>
        <v/>
      </c>
      <c r="EK38" s="119" t="str">
        <f t="shared" si="40"/>
        <v/>
      </c>
      <c r="EL38" s="119">
        <f t="shared" si="40"/>
        <v>0.10524349826203895</v>
      </c>
      <c r="EM38" s="119">
        <f t="shared" si="40"/>
        <v>6.6717619623116092E-2</v>
      </c>
      <c r="EN38" s="119">
        <f t="shared" si="40"/>
        <v>6.7001904284156796E-2</v>
      </c>
      <c r="EO38" s="119">
        <f t="shared" si="40"/>
        <v>8.5622415281603581E-2</v>
      </c>
      <c r="EP38" s="119">
        <f t="shared" si="40"/>
        <v>9.1624313845917613E-2</v>
      </c>
      <c r="EQ38" s="119">
        <f t="shared" si="40"/>
        <v>6.8283918032061075E-2</v>
      </c>
      <c r="ER38" s="119">
        <f t="shared" si="40"/>
        <v>5.281250115239236E-2</v>
      </c>
      <c r="ES38" s="119">
        <f t="shared" si="40"/>
        <v>5.520657957979954E-2</v>
      </c>
      <c r="ET38" s="119">
        <f t="shared" si="40"/>
        <v>6.1122759329394115E-2</v>
      </c>
      <c r="EU38" s="119"/>
      <c r="EV38" s="119">
        <f t="shared" si="59"/>
        <v>6.9916055409776037E-2</v>
      </c>
      <c r="EW38" s="119">
        <f t="shared" si="59"/>
        <v>6.5655985917856666E-2</v>
      </c>
      <c r="EX38" s="119">
        <f t="shared" si="59"/>
        <v>7.6180592273003681E-2</v>
      </c>
      <c r="EY38" s="119">
        <f t="shared" si="59"/>
        <v>5.8765473915950571E-2</v>
      </c>
      <c r="EZ38" s="119"/>
      <c r="FA38" s="119">
        <f t="shared" si="9"/>
        <v>5.8765473915950571E-2</v>
      </c>
      <c r="FB38" s="130">
        <f t="shared" si="10"/>
        <v>1986756</v>
      </c>
      <c r="FC38" s="131">
        <f>FB38/X38-1</f>
        <v>-6.6566624648392581E-2</v>
      </c>
      <c r="FD38" s="132">
        <f t="shared" si="11"/>
        <v>576750</v>
      </c>
      <c r="FE38" s="133">
        <f>FD38/AN38-1</f>
        <v>-0.50962637228094521</v>
      </c>
      <c r="FF38" s="49">
        <f t="shared" si="12"/>
        <v>6926091</v>
      </c>
      <c r="FG38" s="50">
        <f t="shared" si="46"/>
        <v>0.31579466804222833</v>
      </c>
      <c r="FH38" s="49">
        <f t="shared" si="13"/>
        <v>2052361.9</v>
      </c>
      <c r="FI38" s="50">
        <f t="shared" si="47"/>
        <v>0.25869830553089024</v>
      </c>
      <c r="FJ38" s="84">
        <f t="shared" si="14"/>
        <v>407015.02</v>
      </c>
      <c r="FK38" s="134">
        <f t="shared" si="15"/>
        <v>0.29632326517223062</v>
      </c>
      <c r="FL38" s="139">
        <f t="shared" si="16"/>
        <v>5.0424721426742432</v>
      </c>
      <c r="FM38" s="135">
        <f t="shared" si="48"/>
        <v>4.066191988409777</v>
      </c>
      <c r="FN38" s="134">
        <f t="shared" si="18"/>
        <v>5.8765473915950571E-2</v>
      </c>
      <c r="FO38" s="55" t="s">
        <v>40</v>
      </c>
      <c r="FP38" s="136" t="s">
        <v>66</v>
      </c>
      <c r="FQ38" s="137"/>
      <c r="FR38" s="137" t="s">
        <v>113</v>
      </c>
      <c r="FS38" s="138"/>
      <c r="FT38" s="12" t="s">
        <v>257</v>
      </c>
      <c r="FU38" s="12" t="s">
        <v>258</v>
      </c>
      <c r="FX38" s="59" t="s">
        <v>259</v>
      </c>
    </row>
    <row r="39" spans="1:180" x14ac:dyDescent="0.25">
      <c r="A39" s="36" t="s">
        <v>327</v>
      </c>
      <c r="B39" s="37" t="s">
        <v>328</v>
      </c>
      <c r="C39" s="37" t="str">
        <f>INDEX('[1]Property Summary'!A:A,MATCH($A39,'[1]Property Summary'!$AC:$AC,FALSE))</f>
        <v>4225 Woods Place</v>
      </c>
      <c r="D39" s="37" t="str">
        <f>INDEX('[1]Property Summary'!B:B,MATCH($A39,'[1]Property Summary'!$AC:$AC,FALSE))</f>
        <v>Abilene</v>
      </c>
      <c r="E39" s="37" t="str">
        <f>INDEX('[1]Property Summary'!C:C,MATCH($A39,'[1]Property Summary'!$AC:$AC,FALSE))</f>
        <v>TX</v>
      </c>
      <c r="F39" s="37">
        <f>INDEX('[1]Property Summary'!D:D,MATCH($A39,'[1]Property Summary'!$AC:$AC,FALSE))</f>
        <v>79602</v>
      </c>
      <c r="G39" s="37" t="str">
        <f>INDEX('[1]Property Summary'!E:E,MATCH($A39,'[1]Property Summary'!$AC:$AC,FALSE))</f>
        <v>Oceans Healthcare</v>
      </c>
      <c r="H39" s="97" t="str">
        <f>INDEX('[1]Property Summary'!F:F,MATCH($A39,'[1]Property Summary'!$AC:$AC,FALSE))</f>
        <v>Oceans Acquisition, Inc.</v>
      </c>
      <c r="I39" s="83" t="str">
        <f>INDEX('[1]Property Summary'!H:H,MATCH($A39,'[1]Property Summary'!$AC:$AC,FALSE))</f>
        <v>Health Care</v>
      </c>
      <c r="AR39" s="39">
        <v>5369853</v>
      </c>
      <c r="AS39" s="39">
        <v>5536961</v>
      </c>
      <c r="AT39" s="39">
        <v>6516287</v>
      </c>
      <c r="AU39" s="39">
        <v>5378539</v>
      </c>
      <c r="AV39" s="39">
        <v>5364305</v>
      </c>
      <c r="AW39" s="39">
        <v>5531139</v>
      </c>
      <c r="AX39" s="39">
        <v>5779802</v>
      </c>
      <c r="AY39" s="39">
        <v>5543839</v>
      </c>
      <c r="AZ39" s="39">
        <v>5454391</v>
      </c>
      <c r="BA39" s="39">
        <v>5854468</v>
      </c>
      <c r="BB39" s="39">
        <v>6999990</v>
      </c>
      <c r="BC39" s="39">
        <v>5686874</v>
      </c>
      <c r="BF39" s="39">
        <f>SUM(AR39:AU39)</f>
        <v>22801640</v>
      </c>
      <c r="BG39" s="39">
        <f t="shared" si="50"/>
        <v>22219085</v>
      </c>
      <c r="BH39" s="39">
        <f t="shared" si="53"/>
        <v>23995723</v>
      </c>
      <c r="BJ39" s="39">
        <f t="shared" si="54"/>
        <v>23995723</v>
      </c>
      <c r="BK39" s="39">
        <v>1488094.06</v>
      </c>
      <c r="BL39" s="39">
        <v>1423772.06</v>
      </c>
      <c r="BM39" s="39">
        <v>2327927.06</v>
      </c>
      <c r="BN39" s="39">
        <v>1161056.01</v>
      </c>
      <c r="BO39" s="39">
        <v>1214521.9099999999</v>
      </c>
      <c r="BP39" s="39">
        <v>1515763.91</v>
      </c>
      <c r="BQ39" s="39">
        <v>1510846.91</v>
      </c>
      <c r="BR39" s="39">
        <v>1354128.04</v>
      </c>
      <c r="BT39" s="39">
        <f>1066273+CL39</f>
        <v>1327642.3</v>
      </c>
      <c r="BU39" s="39">
        <f>1213890+CM39</f>
        <v>1475259.3</v>
      </c>
      <c r="BV39" s="39">
        <v>1767065.2999999998</v>
      </c>
      <c r="BW39" s="39">
        <v>943584</v>
      </c>
      <c r="BY39" s="39">
        <f>SUM(BK39:BN39)</f>
        <v>6400849.1899999995</v>
      </c>
      <c r="BZ39" s="39">
        <f t="shared" si="51"/>
        <v>5595260.7699999996</v>
      </c>
      <c r="CA39" s="39">
        <f t="shared" si="55"/>
        <v>5513550.9000000004</v>
      </c>
      <c r="CC39" s="39">
        <f t="shared" si="56"/>
        <v>5513550.9000000004</v>
      </c>
      <c r="CD39" s="39">
        <v>249993.06</v>
      </c>
      <c r="CE39" s="39">
        <v>249993.06</v>
      </c>
      <c r="CF39" s="39">
        <v>249993.06</v>
      </c>
      <c r="CG39" s="39">
        <v>251868.01</v>
      </c>
      <c r="CH39" s="39">
        <v>255617.91</v>
      </c>
      <c r="CI39" s="39">
        <v>255617.91</v>
      </c>
      <c r="CJ39" s="39">
        <v>255617.91</v>
      </c>
      <c r="CK39" s="39">
        <v>257535.04</v>
      </c>
      <c r="CL39" s="39">
        <v>261369.30000000002</v>
      </c>
      <c r="CM39" s="39">
        <v>261369.30000000002</v>
      </c>
      <c r="CN39" s="39">
        <v>261369.30000000002</v>
      </c>
      <c r="CO39" s="39">
        <v>263330</v>
      </c>
      <c r="CQ39" s="39">
        <v>979801.64999999991</v>
      </c>
      <c r="CR39" s="39">
        <f t="shared" si="29"/>
        <v>1001847.19</v>
      </c>
      <c r="CS39" s="39">
        <f t="shared" si="30"/>
        <v>1024388.77</v>
      </c>
      <c r="CT39" s="39">
        <f t="shared" si="44"/>
        <v>1047437.9</v>
      </c>
      <c r="CV39" s="39">
        <f t="shared" si="57"/>
        <v>1047437.9</v>
      </c>
      <c r="CW39" s="119">
        <f t="shared" si="58"/>
        <v>0.27712007386421939</v>
      </c>
      <c r="CX39" s="119">
        <f t="shared" si="58"/>
        <v>0.25713962225849163</v>
      </c>
      <c r="CY39" s="119">
        <f t="shared" si="58"/>
        <v>0.35724747237191978</v>
      </c>
      <c r="CZ39" s="119">
        <f t="shared" si="58"/>
        <v>0.21586828876763745</v>
      </c>
      <c r="DA39" s="119">
        <f t="shared" si="58"/>
        <v>0.22640806404557531</v>
      </c>
      <c r="DB39" s="119">
        <f t="shared" si="58"/>
        <v>0.27404191252470783</v>
      </c>
      <c r="DC39" s="119">
        <f t="shared" si="58"/>
        <v>0.26140115353432519</v>
      </c>
      <c r="DD39" s="119">
        <f t="shared" si="52"/>
        <v>0.2442581828224088</v>
      </c>
      <c r="DE39" s="119">
        <f t="shared" si="38"/>
        <v>0.24340798083599069</v>
      </c>
      <c r="DF39" s="119">
        <f t="shared" si="38"/>
        <v>0.25198861792395144</v>
      </c>
      <c r="DG39" s="119">
        <f t="shared" si="38"/>
        <v>0.2524382606260866</v>
      </c>
      <c r="DH39" s="119">
        <f t="shared" si="38"/>
        <v>0.1659231416064432</v>
      </c>
      <c r="DI39" s="119"/>
      <c r="DJ39" s="119" t="str">
        <f t="shared" si="41"/>
        <v/>
      </c>
      <c r="DK39" s="119">
        <f t="shared" si="41"/>
        <v>0.28071880750682843</v>
      </c>
      <c r="DL39" s="119">
        <f t="shared" si="41"/>
        <v>0.2518222856611782</v>
      </c>
      <c r="DM39" s="119">
        <f t="shared" si="41"/>
        <v>0.22977223482701481</v>
      </c>
      <c r="DN39" s="119"/>
      <c r="DO39" s="119">
        <f t="shared" si="4"/>
        <v>0.22977223482701481</v>
      </c>
      <c r="DP39" s="118">
        <f t="shared" si="32"/>
        <v>5.9525414825515561</v>
      </c>
      <c r="DQ39" s="118">
        <f t="shared" si="32"/>
        <v>5.6952463400384001</v>
      </c>
      <c r="DR39" s="118">
        <f t="shared" si="32"/>
        <v>9.3119667401967074</v>
      </c>
      <c r="DS39" s="118">
        <f t="shared" si="32"/>
        <v>4.6097795825678691</v>
      </c>
      <c r="DT39" s="118">
        <f t="shared" si="32"/>
        <v>4.7513177382602025</v>
      </c>
      <c r="DU39" s="118">
        <f t="shared" si="32"/>
        <v>5.9298032364007662</v>
      </c>
      <c r="DV39" s="118">
        <f t="shared" si="32"/>
        <v>5.910567495055413</v>
      </c>
      <c r="DW39" s="118">
        <f t="shared" si="32"/>
        <v>5.2580341688649437</v>
      </c>
      <c r="DX39" s="118">
        <f t="shared" si="39"/>
        <v>5.0795648149954875</v>
      </c>
      <c r="DY39" s="118">
        <f t="shared" si="39"/>
        <v>5.6443480546491109</v>
      </c>
      <c r="DZ39" s="118">
        <f t="shared" si="39"/>
        <v>6.7607989920774925</v>
      </c>
      <c r="EA39" s="118">
        <f t="shared" si="39"/>
        <v>3.5832757376675652</v>
      </c>
      <c r="EB39" s="118"/>
      <c r="EC39" s="118" t="str">
        <f t="shared" si="49"/>
        <v/>
      </c>
      <c r="ED39" s="118">
        <f t="shared" si="49"/>
        <v>6.3890474055229918</v>
      </c>
      <c r="EE39" s="118">
        <f t="shared" si="49"/>
        <v>5.4620481343230649</v>
      </c>
      <c r="EF39" s="118">
        <f t="shared" si="49"/>
        <v>5.2638451406045172</v>
      </c>
      <c r="EG39" s="118"/>
      <c r="EH39" s="118">
        <f t="shared" si="7"/>
        <v>5.2638451406045172</v>
      </c>
      <c r="EI39" s="119">
        <f t="shared" si="40"/>
        <v>4.655491686643936E-2</v>
      </c>
      <c r="EJ39" s="119">
        <f t="shared" si="40"/>
        <v>4.5149868312238425E-2</v>
      </c>
      <c r="EK39" s="119">
        <f t="shared" si="40"/>
        <v>3.8364341533759949E-2</v>
      </c>
      <c r="EL39" s="119">
        <f t="shared" si="40"/>
        <v>4.6828332006145168E-2</v>
      </c>
      <c r="EM39" s="119">
        <f t="shared" si="40"/>
        <v>4.7651636139257554E-2</v>
      </c>
      <c r="EN39" s="119">
        <f t="shared" si="40"/>
        <v>4.6214334877499916E-2</v>
      </c>
      <c r="EO39" s="119">
        <f t="shared" si="40"/>
        <v>4.4226066913710886E-2</v>
      </c>
      <c r="EP39" s="119">
        <f t="shared" si="40"/>
        <v>4.6454278343941807E-2</v>
      </c>
      <c r="EQ39" s="119">
        <f t="shared" si="40"/>
        <v>4.7919061908103036E-2</v>
      </c>
      <c r="ER39" s="119">
        <f t="shared" si="40"/>
        <v>4.4644415171455377E-2</v>
      </c>
      <c r="ES39" s="119">
        <f t="shared" si="40"/>
        <v>3.7338524769321105E-2</v>
      </c>
      <c r="ET39" s="119">
        <f t="shared" si="40"/>
        <v>4.630487680929804E-2</v>
      </c>
      <c r="EU39" s="119"/>
      <c r="EV39" s="119" t="str">
        <f t="shared" si="59"/>
        <v/>
      </c>
      <c r="EW39" s="119">
        <f t="shared" si="59"/>
        <v>4.3937505810985523E-2</v>
      </c>
      <c r="EX39" s="119">
        <f t="shared" si="59"/>
        <v>4.6104003382677547E-2</v>
      </c>
      <c r="EY39" s="119">
        <f t="shared" si="59"/>
        <v>4.3651024809712967E-2</v>
      </c>
      <c r="EZ39" s="119"/>
      <c r="FA39" s="119">
        <f t="shared" si="9"/>
        <v>4.3651024809712967E-2</v>
      </c>
      <c r="FB39" s="130" t="str">
        <f t="shared" si="10"/>
        <v/>
      </c>
      <c r="FC39" s="143"/>
      <c r="FD39" s="132" t="str">
        <f t="shared" si="11"/>
        <v/>
      </c>
      <c r="FE39" s="144"/>
      <c r="FF39" s="49">
        <f t="shared" si="12"/>
        <v>23995723</v>
      </c>
      <c r="FG39" s="50">
        <f t="shared" si="46"/>
        <v>7.9959998352767458E-2</v>
      </c>
      <c r="FH39" s="49">
        <f t="shared" si="13"/>
        <v>5513550.9000000004</v>
      </c>
      <c r="FI39" s="50">
        <f t="shared" si="47"/>
        <v>-1.4603406947197417E-2</v>
      </c>
      <c r="FJ39" s="84">
        <f t="shared" si="14"/>
        <v>1047437.9</v>
      </c>
      <c r="FK39" s="134">
        <f t="shared" si="15"/>
        <v>0.22977223482701481</v>
      </c>
      <c r="FL39" s="139">
        <f t="shared" si="16"/>
        <v>5.2638451406045172</v>
      </c>
      <c r="FM39" s="54">
        <f t="shared" si="48"/>
        <v>5.4620481343230649</v>
      </c>
      <c r="FN39" s="134">
        <f t="shared" si="18"/>
        <v>4.3651024809712967E-2</v>
      </c>
      <c r="FO39" s="142" t="s">
        <v>40</v>
      </c>
      <c r="FP39" s="136" t="s">
        <v>66</v>
      </c>
      <c r="FQ39" s="137"/>
      <c r="FR39" s="137" t="s">
        <v>113</v>
      </c>
      <c r="FS39" s="138" t="s">
        <v>113</v>
      </c>
      <c r="FT39" s="12" t="s">
        <v>280</v>
      </c>
      <c r="FV39" s="12" t="s">
        <v>113</v>
      </c>
      <c r="FX39" s="59" t="s">
        <v>241</v>
      </c>
    </row>
    <row r="40" spans="1:180" x14ac:dyDescent="0.25">
      <c r="A40" s="36" t="s">
        <v>329</v>
      </c>
      <c r="B40" s="37" t="s">
        <v>246</v>
      </c>
      <c r="C40" s="37" t="str">
        <f>INDEX('[1]Property Summary'!A:A,MATCH($A40,'[1]Property Summary'!$AC:$AC,FALSE))</f>
        <v>2881 Bridgewood Drive</v>
      </c>
      <c r="D40" s="37" t="str">
        <f>INDEX('[1]Property Summary'!B:B,MATCH($A40,'[1]Property Summary'!$AC:$AC,FALSE))</f>
        <v>Fayetteville</v>
      </c>
      <c r="E40" s="37" t="str">
        <f>INDEX('[1]Property Summary'!C:C,MATCH($A40,'[1]Property Summary'!$AC:$AC,FALSE))</f>
        <v>NC</v>
      </c>
      <c r="F40" s="37">
        <f>INDEX('[1]Property Summary'!D:D,MATCH($A40,'[1]Property Summary'!$AC:$AC,FALSE))</f>
        <v>28301</v>
      </c>
      <c r="G40" s="37" t="str">
        <f>INDEX('[1]Property Summary'!E:E,MATCH($A40,'[1]Property Summary'!$AC:$AC,FALSE))</f>
        <v>GPM</v>
      </c>
      <c r="H40" s="37" t="str">
        <f>INDEX('[1]Property Summary'!F:F,MATCH($A40,'[1]Property Summary'!$AC:$AC,FALSE))</f>
        <v>GPM Empire, LLC</v>
      </c>
      <c r="I40" s="83" t="str">
        <f>INDEX('[1]Property Summary'!H:H,MATCH($A40,'[1]Property Summary'!$AC:$AC,FALSE))</f>
        <v>Convenience Stores</v>
      </c>
      <c r="AA40" s="117">
        <v>150239</v>
      </c>
      <c r="AB40" s="117">
        <v>147353</v>
      </c>
      <c r="AC40" s="117">
        <v>163649</v>
      </c>
      <c r="AD40" s="117">
        <v>152901</v>
      </c>
      <c r="AE40" s="117">
        <f>135603</f>
        <v>135603</v>
      </c>
      <c r="AF40" s="117">
        <f>155499</f>
        <v>155499</v>
      </c>
      <c r="AG40" s="117">
        <v>152610</v>
      </c>
      <c r="AH40" s="117">
        <v>147838</v>
      </c>
      <c r="AI40" s="117">
        <f>144897</f>
        <v>144897</v>
      </c>
      <c r="AJ40" s="117">
        <v>141336</v>
      </c>
      <c r="AK40" s="117">
        <v>142545</v>
      </c>
      <c r="AL40" s="117">
        <f>AP40-SUM(AI40:AK40)</f>
        <v>123313</v>
      </c>
      <c r="AM40" s="117">
        <v>259429</v>
      </c>
      <c r="AN40" s="117">
        <v>614142</v>
      </c>
      <c r="AO40" s="117">
        <f>SUM(AE40:AH40)</f>
        <v>591550</v>
      </c>
      <c r="AP40" s="117">
        <v>552091</v>
      </c>
      <c r="AQ40" s="117">
        <f>SUM(AI40:AL40)</f>
        <v>552091</v>
      </c>
      <c r="AR40" s="39">
        <v>58891</v>
      </c>
      <c r="AS40" s="39">
        <v>65196</v>
      </c>
      <c r="AT40" s="39">
        <v>59821</v>
      </c>
      <c r="AU40" s="39">
        <v>46397</v>
      </c>
      <c r="AV40" s="39">
        <v>43759</v>
      </c>
      <c r="AW40" s="39">
        <v>58387</v>
      </c>
      <c r="AX40" s="39">
        <v>69684</v>
      </c>
      <c r="AY40" s="39">
        <v>60662</v>
      </c>
      <c r="AZ40" s="39">
        <v>74044</v>
      </c>
      <c r="BA40" s="39">
        <v>87096</v>
      </c>
      <c r="BB40" s="39">
        <v>72990</v>
      </c>
      <c r="BC40" s="39">
        <v>50636</v>
      </c>
      <c r="BE40" s="39">
        <v>101707</v>
      </c>
      <c r="BF40" s="39">
        <v>230305</v>
      </c>
      <c r="BG40" s="39">
        <f t="shared" si="50"/>
        <v>232492</v>
      </c>
      <c r="BH40" s="39">
        <f t="shared" si="53"/>
        <v>284766</v>
      </c>
      <c r="BJ40" s="39">
        <f t="shared" si="54"/>
        <v>284766</v>
      </c>
      <c r="BK40" s="39">
        <f>37260+10643</f>
        <v>47903</v>
      </c>
      <c r="BL40" s="39">
        <f>34297+10643</f>
        <v>44940</v>
      </c>
      <c r="BM40" s="39">
        <f>31035+10643</f>
        <v>41678</v>
      </c>
      <c r="BN40" s="39">
        <f>25786+10643</f>
        <v>36429</v>
      </c>
      <c r="BO40" s="39">
        <f>22570+10430</f>
        <v>33000</v>
      </c>
      <c r="BP40" s="39">
        <f>36685+10005</f>
        <v>46690</v>
      </c>
      <c r="BQ40" s="39">
        <f>58387+10005</f>
        <v>68392</v>
      </c>
      <c r="BR40" s="39">
        <f>42649+10005</f>
        <v>52654</v>
      </c>
      <c r="BT40" s="39">
        <f>51503+10005</f>
        <v>61508</v>
      </c>
      <c r="BU40" s="39">
        <f>61829+10005</f>
        <v>71834</v>
      </c>
      <c r="BV40" s="39">
        <f>45779+10005</f>
        <v>55784</v>
      </c>
      <c r="BW40" s="39">
        <f>28046+10005</f>
        <v>38051</v>
      </c>
      <c r="BX40" s="39">
        <f>78583+18883</f>
        <v>97466</v>
      </c>
      <c r="BY40" s="39">
        <f>128378+42573</f>
        <v>170951</v>
      </c>
      <c r="BZ40" s="39">
        <f t="shared" si="51"/>
        <v>200736</v>
      </c>
      <c r="CA40" s="39">
        <f t="shared" si="55"/>
        <v>227177</v>
      </c>
      <c r="CC40" s="39">
        <f t="shared" si="56"/>
        <v>227177</v>
      </c>
      <c r="CD40" s="39">
        <v>10643.28</v>
      </c>
      <c r="CE40" s="39">
        <v>10643.28</v>
      </c>
      <c r="CF40" s="39">
        <v>10643.28</v>
      </c>
      <c r="CG40" s="39">
        <v>10643.28</v>
      </c>
      <c r="CH40" s="39">
        <v>10430.41</v>
      </c>
      <c r="CI40" s="39">
        <v>10004.67</v>
      </c>
      <c r="CJ40" s="39">
        <v>10004.67</v>
      </c>
      <c r="CK40" s="39">
        <v>10004.67</v>
      </c>
      <c r="CL40" s="39">
        <v>10004.67</v>
      </c>
      <c r="CM40" s="39">
        <v>10004.67</v>
      </c>
      <c r="CN40" s="39">
        <v>10004.67</v>
      </c>
      <c r="CO40" s="39">
        <v>10005</v>
      </c>
      <c r="CQ40" s="39">
        <v>42573.120000000017</v>
      </c>
      <c r="CR40" s="39">
        <f t="shared" si="29"/>
        <v>42573.120000000003</v>
      </c>
      <c r="CS40" s="39">
        <f t="shared" si="30"/>
        <v>40444.42</v>
      </c>
      <c r="CT40" s="39">
        <f t="shared" si="44"/>
        <v>40019.01</v>
      </c>
      <c r="CV40" s="39">
        <f t="shared" si="57"/>
        <v>40019.01</v>
      </c>
      <c r="CW40" s="43">
        <f t="shared" si="58"/>
        <v>0.8134180095430541</v>
      </c>
      <c r="CX40" s="43">
        <f t="shared" si="58"/>
        <v>0.68930609239830665</v>
      </c>
      <c r="CY40" s="43">
        <f t="shared" si="58"/>
        <v>0.6967118570401698</v>
      </c>
      <c r="CZ40" s="43">
        <f t="shared" si="58"/>
        <v>0.78515852318037804</v>
      </c>
      <c r="DA40" s="43">
        <f t="shared" si="58"/>
        <v>0.75413057885235035</v>
      </c>
      <c r="DB40" s="43">
        <f t="shared" si="58"/>
        <v>0.79966430883587103</v>
      </c>
      <c r="DC40" s="43">
        <f t="shared" si="58"/>
        <v>0.9814591584868837</v>
      </c>
      <c r="DD40" s="43">
        <f t="shared" si="52"/>
        <v>0.86798984537272095</v>
      </c>
      <c r="DE40" s="43">
        <f t="shared" si="38"/>
        <v>0.83069526227648427</v>
      </c>
      <c r="DF40" s="43">
        <f t="shared" si="38"/>
        <v>0.82476807201249192</v>
      </c>
      <c r="DG40" s="43">
        <f t="shared" si="38"/>
        <v>0.76426907795588439</v>
      </c>
      <c r="DH40" s="43">
        <f t="shared" si="38"/>
        <v>0.75146141085393792</v>
      </c>
      <c r="DI40" s="43"/>
      <c r="DJ40" s="43">
        <f t="shared" si="41"/>
        <v>0.95830178847080338</v>
      </c>
      <c r="DK40" s="43">
        <f t="shared" si="41"/>
        <v>0.74228088838713879</v>
      </c>
      <c r="DL40" s="43">
        <f t="shared" si="41"/>
        <v>0.86341035390465048</v>
      </c>
      <c r="DM40" s="43">
        <f t="shared" si="41"/>
        <v>0.79776728963429622</v>
      </c>
      <c r="DN40" s="43"/>
      <c r="DO40" s="43">
        <f t="shared" si="4"/>
        <v>0.79776728963429622</v>
      </c>
      <c r="DP40" s="118">
        <f t="shared" si="32"/>
        <v>4.5007741974278606</v>
      </c>
      <c r="DQ40" s="118">
        <f t="shared" si="32"/>
        <v>4.2223825737930412</v>
      </c>
      <c r="DR40" s="118">
        <f t="shared" si="32"/>
        <v>3.9158981065987173</v>
      </c>
      <c r="DS40" s="118">
        <f t="shared" si="32"/>
        <v>3.4227230703317022</v>
      </c>
      <c r="DT40" s="118">
        <f t="shared" si="32"/>
        <v>3.1638257748257259</v>
      </c>
      <c r="DU40" s="118">
        <f t="shared" si="32"/>
        <v>4.6668205947822363</v>
      </c>
      <c r="DV40" s="118">
        <f t="shared" si="32"/>
        <v>6.8360075844580583</v>
      </c>
      <c r="DW40" s="118">
        <f t="shared" si="32"/>
        <v>5.2629422059898028</v>
      </c>
      <c r="DX40" s="118">
        <f t="shared" si="39"/>
        <v>6.1479289171956699</v>
      </c>
      <c r="DY40" s="118">
        <f t="shared" si="39"/>
        <v>7.1800469180892526</v>
      </c>
      <c r="DZ40" s="118">
        <f t="shared" si="39"/>
        <v>5.5757961032197967</v>
      </c>
      <c r="EA40" s="118">
        <f t="shared" si="39"/>
        <v>3.8031984007996003</v>
      </c>
      <c r="EB40" s="118"/>
      <c r="EC40" s="118">
        <f t="shared" si="49"/>
        <v>2.2893788381025391</v>
      </c>
      <c r="ED40" s="118">
        <f t="shared" si="49"/>
        <v>4.0154679760374616</v>
      </c>
      <c r="EE40" s="118">
        <f t="shared" si="49"/>
        <v>4.9632557470227043</v>
      </c>
      <c r="EF40" s="118">
        <f t="shared" si="49"/>
        <v>5.6767271354288873</v>
      </c>
      <c r="EG40" s="118"/>
      <c r="EH40" s="118">
        <f t="shared" si="7"/>
        <v>5.6767271354288873</v>
      </c>
      <c r="EI40" s="43">
        <f t="shared" si="40"/>
        <v>0.18072846445127441</v>
      </c>
      <c r="EJ40" s="43">
        <f t="shared" si="40"/>
        <v>0.16325050616602246</v>
      </c>
      <c r="EK40" s="43">
        <f t="shared" si="40"/>
        <v>0.17791879105999567</v>
      </c>
      <c r="EL40" s="43">
        <f t="shared" si="40"/>
        <v>0.22939586611203311</v>
      </c>
      <c r="EM40" s="43">
        <f t="shared" si="40"/>
        <v>0.23836033730204073</v>
      </c>
      <c r="EN40" s="43">
        <f t="shared" si="40"/>
        <v>0.17135098566461712</v>
      </c>
      <c r="EO40" s="43">
        <f t="shared" si="40"/>
        <v>0.14357198209058034</v>
      </c>
      <c r="EP40" s="43">
        <f t="shared" si="40"/>
        <v>0.16492482938247996</v>
      </c>
      <c r="EQ40" s="43">
        <f t="shared" si="40"/>
        <v>0.13511790286856465</v>
      </c>
      <c r="ER40" s="43">
        <f t="shared" si="40"/>
        <v>0.11486945439515019</v>
      </c>
      <c r="ES40" s="43">
        <f t="shared" si="40"/>
        <v>0.13706905055487054</v>
      </c>
      <c r="ET40" s="43">
        <f t="shared" si="40"/>
        <v>0.1975866972114701</v>
      </c>
      <c r="EU40" s="43"/>
      <c r="EV40" s="43">
        <f t="shared" si="59"/>
        <v>0.41858593803769667</v>
      </c>
      <c r="EW40" s="43">
        <f t="shared" si="59"/>
        <v>0.18485538742102864</v>
      </c>
      <c r="EX40" s="43">
        <f t="shared" si="59"/>
        <v>0.17396048036061454</v>
      </c>
      <c r="EY40" s="43">
        <f t="shared" si="59"/>
        <v>0.14053296390720804</v>
      </c>
      <c r="EZ40" s="43"/>
      <c r="FA40" s="43">
        <f t="shared" si="9"/>
        <v>0.14053296390720804</v>
      </c>
      <c r="FB40" s="120" t="str">
        <f t="shared" si="10"/>
        <v/>
      </c>
      <c r="FC40" s="52"/>
      <c r="FD40" s="122">
        <f t="shared" si="11"/>
        <v>552091</v>
      </c>
      <c r="FE40" s="66">
        <f>FD40/AO40-1</f>
        <v>-6.6704420589975499E-2</v>
      </c>
      <c r="FF40" s="49">
        <f t="shared" si="12"/>
        <v>284766</v>
      </c>
      <c r="FG40" s="50">
        <f t="shared" si="46"/>
        <v>0.22484214510606826</v>
      </c>
      <c r="FH40" s="49">
        <f t="shared" si="13"/>
        <v>227177</v>
      </c>
      <c r="FI40" s="50">
        <f t="shared" si="47"/>
        <v>0.1317202694085764</v>
      </c>
      <c r="FJ40" s="84">
        <f t="shared" si="14"/>
        <v>40019.01</v>
      </c>
      <c r="FK40" s="51">
        <f t="shared" si="15"/>
        <v>0.79776728963429622</v>
      </c>
      <c r="FL40" s="139">
        <f t="shared" si="16"/>
        <v>5.6767271354288873</v>
      </c>
      <c r="FM40" s="54">
        <f t="shared" si="48"/>
        <v>4.9632557470227043</v>
      </c>
      <c r="FN40" s="51">
        <f t="shared" si="18"/>
        <v>0.14053296390720804</v>
      </c>
      <c r="FO40" s="55" t="s">
        <v>40</v>
      </c>
      <c r="FP40" s="124" t="s">
        <v>66</v>
      </c>
      <c r="FR40" s="125" t="s">
        <v>113</v>
      </c>
      <c r="FS40" s="126" t="s">
        <v>113</v>
      </c>
      <c r="FT40" s="12" t="s">
        <v>249</v>
      </c>
      <c r="FU40" s="12" t="s">
        <v>330</v>
      </c>
      <c r="FX40" s="59" t="s">
        <v>252</v>
      </c>
    </row>
    <row r="41" spans="1:180" x14ac:dyDescent="0.25">
      <c r="A41" s="36" t="s">
        <v>331</v>
      </c>
      <c r="B41" s="37" t="s">
        <v>318</v>
      </c>
      <c r="C41" s="37" t="str">
        <f>INDEX('[1]Property Summary'!A:A,MATCH($A41,'[1]Property Summary'!$AC:$AC,FALSE))</f>
        <v>11135 Florida Boulevard</v>
      </c>
      <c r="D41" s="37" t="str">
        <f>INDEX('[1]Property Summary'!B:B,MATCH($A41,'[1]Property Summary'!$AC:$AC,FALSE))</f>
        <v>Baton Rouge</v>
      </c>
      <c r="E41" s="37" t="str">
        <f>INDEX('[1]Property Summary'!C:C,MATCH($A41,'[1]Property Summary'!$AC:$AC,FALSE))</f>
        <v>LA</v>
      </c>
      <c r="F41" s="37">
        <f>INDEX('[1]Property Summary'!D:D,MATCH($A41,'[1]Property Summary'!$AC:$AC,FALSE))</f>
        <v>70815</v>
      </c>
      <c r="G41" s="37" t="str">
        <f>INDEX('[1]Property Summary'!E:E,MATCH($A41,'[1]Property Summary'!$AC:$AC,FALSE))</f>
        <v>Oceans Healthcare</v>
      </c>
      <c r="H41" s="37" t="str">
        <f>INDEX('[1]Property Summary'!F:F,MATCH($A41,'[1]Property Summary'!$AC:$AC,FALSE))</f>
        <v>Oceans Acquisition, Inc.</v>
      </c>
      <c r="I41" s="83" t="str">
        <f>INDEX('[1]Property Summary'!H:H,MATCH($A41,'[1]Property Summary'!$AC:$AC,FALSE))</f>
        <v>Health Care</v>
      </c>
      <c r="AR41" s="39">
        <v>1140677</v>
      </c>
      <c r="AS41" s="39">
        <v>1264833</v>
      </c>
      <c r="AT41" s="39">
        <v>1238225</v>
      </c>
      <c r="AU41" s="39">
        <v>1273044</v>
      </c>
      <c r="AV41" s="39">
        <v>1282717</v>
      </c>
      <c r="AW41" s="39">
        <v>1326909</v>
      </c>
      <c r="AX41" s="39">
        <v>1191603</v>
      </c>
      <c r="AY41" s="39">
        <v>1181365</v>
      </c>
      <c r="AZ41" s="39">
        <v>1330580</v>
      </c>
      <c r="BA41" s="39">
        <v>1290539</v>
      </c>
      <c r="BB41" s="39">
        <v>1398406</v>
      </c>
      <c r="BC41" s="39">
        <v>1286333</v>
      </c>
      <c r="BF41" s="39">
        <f>SUM(AR41:AU41)</f>
        <v>4916779</v>
      </c>
      <c r="BG41" s="39">
        <f t="shared" si="50"/>
        <v>4982594</v>
      </c>
      <c r="BH41" s="39">
        <f t="shared" si="53"/>
        <v>5305858</v>
      </c>
      <c r="BJ41" s="39">
        <f t="shared" si="54"/>
        <v>5305858</v>
      </c>
      <c r="BK41" s="39">
        <v>143361.21</v>
      </c>
      <c r="BL41" s="39">
        <v>295630.21000000002</v>
      </c>
      <c r="BM41" s="39">
        <v>239008.40999999997</v>
      </c>
      <c r="BN41" s="39">
        <v>290437.51</v>
      </c>
      <c r="BO41" s="39">
        <v>340020.50999999995</v>
      </c>
      <c r="BP41" s="39">
        <v>359295.50999999995</v>
      </c>
      <c r="BQ41" s="39">
        <v>231634.57</v>
      </c>
      <c r="BR41" s="39">
        <v>213547.59999999998</v>
      </c>
      <c r="BT41" s="39">
        <f>293283+CL41</f>
        <v>348390.6</v>
      </c>
      <c r="BU41" s="39">
        <f>253082+CM41</f>
        <v>308189.59999999998</v>
      </c>
      <c r="BV41" s="39">
        <v>427170.06</v>
      </c>
      <c r="BW41" s="39">
        <v>339812</v>
      </c>
      <c r="BY41" s="39">
        <f>SUM(BK41:BN41)</f>
        <v>968437.34000000008</v>
      </c>
      <c r="BZ41" s="39">
        <f t="shared" si="51"/>
        <v>1144498.19</v>
      </c>
      <c r="CA41" s="39">
        <f t="shared" si="55"/>
        <v>1423562.26</v>
      </c>
      <c r="CC41" s="39">
        <f t="shared" si="56"/>
        <v>1423562.26</v>
      </c>
      <c r="CD41" s="39">
        <v>52452.21</v>
      </c>
      <c r="CE41" s="39">
        <v>52452.21</v>
      </c>
      <c r="CF41" s="39">
        <v>53326.409999999996</v>
      </c>
      <c r="CG41" s="39">
        <v>53763.509999999995</v>
      </c>
      <c r="CH41" s="39">
        <v>53763.509999999995</v>
      </c>
      <c r="CI41" s="39">
        <v>53763.509999999995</v>
      </c>
      <c r="CJ41" s="39">
        <v>54659.569999999992</v>
      </c>
      <c r="CK41" s="39">
        <v>55107.600000000006</v>
      </c>
      <c r="CL41" s="39">
        <v>55107.600000000006</v>
      </c>
      <c r="CM41" s="39">
        <v>55107.600000000006</v>
      </c>
      <c r="CN41" s="39">
        <v>56026</v>
      </c>
      <c r="CO41" s="39">
        <v>56485</v>
      </c>
      <c r="CQ41" s="39">
        <v>206823.76000000004</v>
      </c>
      <c r="CR41" s="39">
        <f t="shared" si="29"/>
        <v>211994.33999999997</v>
      </c>
      <c r="CS41" s="39">
        <f t="shared" si="30"/>
        <v>217294.18999999997</v>
      </c>
      <c r="CT41" s="39">
        <f t="shared" si="44"/>
        <v>222726.2</v>
      </c>
      <c r="CV41" s="39">
        <f t="shared" si="57"/>
        <v>222726.2</v>
      </c>
      <c r="CW41" s="43">
        <f t="shared" si="58"/>
        <v>0.1256808106063329</v>
      </c>
      <c r="CX41" s="43">
        <f t="shared" si="58"/>
        <v>0.23373062688908339</v>
      </c>
      <c r="CY41" s="43">
        <f t="shared" si="58"/>
        <v>0.1930250237234751</v>
      </c>
      <c r="CZ41" s="43">
        <f t="shared" si="58"/>
        <v>0.22814412541907428</v>
      </c>
      <c r="DA41" s="43">
        <f t="shared" si="58"/>
        <v>0.26507835321430989</v>
      </c>
      <c r="DB41" s="43">
        <f t="shared" si="58"/>
        <v>0.27077630040944778</v>
      </c>
      <c r="DC41" s="43">
        <f t="shared" si="58"/>
        <v>0.19438904568048251</v>
      </c>
      <c r="DD41" s="43">
        <f t="shared" si="52"/>
        <v>0.18076343890330251</v>
      </c>
      <c r="DE41" s="43">
        <f t="shared" si="38"/>
        <v>0.26183363645928842</v>
      </c>
      <c r="DF41" s="43">
        <f t="shared" si="38"/>
        <v>0.23880688611502635</v>
      </c>
      <c r="DG41" s="43">
        <f t="shared" si="38"/>
        <v>0.30546927001171331</v>
      </c>
      <c r="DH41" s="43">
        <f t="shared" si="38"/>
        <v>0.26417109721977122</v>
      </c>
      <c r="DI41" s="43"/>
      <c r="DJ41" s="43" t="str">
        <f t="shared" si="41"/>
        <v/>
      </c>
      <c r="DK41" s="43">
        <f t="shared" si="41"/>
        <v>0.19696580627276516</v>
      </c>
      <c r="DL41" s="43">
        <f t="shared" si="41"/>
        <v>0.22969926708858879</v>
      </c>
      <c r="DM41" s="43">
        <f t="shared" si="41"/>
        <v>0.26830010527986237</v>
      </c>
      <c r="DN41" s="43"/>
      <c r="DO41" s="43">
        <f t="shared" si="4"/>
        <v>0.26830010527986237</v>
      </c>
      <c r="DP41" s="118">
        <f t="shared" si="32"/>
        <v>2.7331776868886934</v>
      </c>
      <c r="DQ41" s="118">
        <f t="shared" si="32"/>
        <v>5.6361821551465612</v>
      </c>
      <c r="DR41" s="118">
        <f t="shared" si="32"/>
        <v>4.4819895057627166</v>
      </c>
      <c r="DS41" s="118">
        <f t="shared" si="32"/>
        <v>5.4021307388598707</v>
      </c>
      <c r="DT41" s="118">
        <f t="shared" si="32"/>
        <v>6.3243733528558677</v>
      </c>
      <c r="DU41" s="118">
        <f t="shared" si="32"/>
        <v>6.6828878918061712</v>
      </c>
      <c r="DV41" s="118">
        <f t="shared" si="32"/>
        <v>4.2377678785252071</v>
      </c>
      <c r="DW41" s="118">
        <f t="shared" si="32"/>
        <v>3.8751025266932322</v>
      </c>
      <c r="DX41" s="118">
        <f t="shared" si="39"/>
        <v>6.3220064020207731</v>
      </c>
      <c r="DY41" s="118">
        <f t="shared" si="39"/>
        <v>5.5925062967721324</v>
      </c>
      <c r="DZ41" s="118">
        <f t="shared" si="39"/>
        <v>7.6244968407525073</v>
      </c>
      <c r="EA41" s="118">
        <f t="shared" si="39"/>
        <v>6.0159688412852974</v>
      </c>
      <c r="EB41" s="118"/>
      <c r="EC41" s="118" t="str">
        <f t="shared" si="49"/>
        <v/>
      </c>
      <c r="ED41" s="118">
        <f t="shared" si="49"/>
        <v>4.5682226233021135</v>
      </c>
      <c r="EE41" s="118">
        <f t="shared" si="49"/>
        <v>5.2670445997658755</v>
      </c>
      <c r="EF41" s="118">
        <f t="shared" si="49"/>
        <v>6.3915348082084638</v>
      </c>
      <c r="EG41" s="118"/>
      <c r="EH41" s="118">
        <f t="shared" si="7"/>
        <v>6.3915348082084638</v>
      </c>
      <c r="EI41" s="43">
        <f t="shared" si="40"/>
        <v>4.5983402838840441E-2</v>
      </c>
      <c r="EJ41" s="43">
        <f t="shared" si="40"/>
        <v>4.146967228084656E-2</v>
      </c>
      <c r="EK41" s="43">
        <f t="shared" si="40"/>
        <v>4.3066817420097311E-2</v>
      </c>
      <c r="EL41" s="43">
        <f t="shared" ref="EL41:ET73" si="60">IFERROR(CG41/AU41,"")</f>
        <v>4.2232248060554069E-2</v>
      </c>
      <c r="EM41" s="43">
        <f t="shared" si="60"/>
        <v>4.1913773653892476E-2</v>
      </c>
      <c r="EN41" s="43">
        <f t="shared" si="60"/>
        <v>4.0517857667707428E-2</v>
      </c>
      <c r="EO41" s="43">
        <f t="shared" si="60"/>
        <v>4.5870621339489742E-2</v>
      </c>
      <c r="EP41" s="43">
        <f t="shared" si="60"/>
        <v>4.6647395174226426E-2</v>
      </c>
      <c r="EQ41" s="43">
        <f t="shared" si="60"/>
        <v>4.1416224503599941E-2</v>
      </c>
      <c r="ER41" s="43">
        <f t="shared" si="60"/>
        <v>4.270122793654435E-2</v>
      </c>
      <c r="ES41" s="43">
        <f t="shared" si="60"/>
        <v>4.0064187367617132E-2</v>
      </c>
      <c r="ET41" s="43">
        <f t="shared" si="60"/>
        <v>4.3911646517659116E-2</v>
      </c>
      <c r="EU41" s="43"/>
      <c r="EV41" s="43" t="str">
        <f t="shared" si="59"/>
        <v/>
      </c>
      <c r="EW41" s="43">
        <f t="shared" si="59"/>
        <v>4.3116507778771421E-2</v>
      </c>
      <c r="EX41" s="43">
        <f t="shared" si="59"/>
        <v>4.3610655413625909E-2</v>
      </c>
      <c r="EY41" s="43">
        <f t="shared" si="59"/>
        <v>4.1977414397445241E-2</v>
      </c>
      <c r="EZ41" s="43"/>
      <c r="FA41" s="43">
        <f t="shared" si="9"/>
        <v>4.1977414397445241E-2</v>
      </c>
      <c r="FB41" s="120" t="str">
        <f t="shared" si="10"/>
        <v/>
      </c>
      <c r="FC41" s="52"/>
      <c r="FD41" s="122" t="str">
        <f t="shared" si="11"/>
        <v/>
      </c>
      <c r="FE41" s="123"/>
      <c r="FF41" s="49">
        <f t="shared" si="12"/>
        <v>5305858</v>
      </c>
      <c r="FG41" s="50">
        <f t="shared" si="46"/>
        <v>6.4878655575790534E-2</v>
      </c>
      <c r="FH41" s="49">
        <f t="shared" si="13"/>
        <v>1423562.26</v>
      </c>
      <c r="FI41" s="50">
        <f t="shared" si="47"/>
        <v>0.2438309404403689</v>
      </c>
      <c r="FJ41" s="84">
        <f t="shared" si="14"/>
        <v>222726.2</v>
      </c>
      <c r="FK41" s="51">
        <f t="shared" si="15"/>
        <v>0.26830010527986237</v>
      </c>
      <c r="FL41" s="139">
        <f t="shared" si="16"/>
        <v>6.3915348082084638</v>
      </c>
      <c r="FM41" s="54">
        <f t="shared" si="48"/>
        <v>5.2670445997658755</v>
      </c>
      <c r="FN41" s="51">
        <f t="shared" si="18"/>
        <v>4.1977414397445241E-2</v>
      </c>
      <c r="FO41" s="142" t="s">
        <v>40</v>
      </c>
      <c r="FP41" s="124" t="s">
        <v>66</v>
      </c>
      <c r="FR41" s="125" t="s">
        <v>113</v>
      </c>
      <c r="FS41" s="126" t="s">
        <v>113</v>
      </c>
      <c r="FT41" s="12" t="s">
        <v>280</v>
      </c>
      <c r="FV41" s="12" t="s">
        <v>113</v>
      </c>
      <c r="FX41" s="59" t="s">
        <v>241</v>
      </c>
    </row>
    <row r="42" spans="1:180" x14ac:dyDescent="0.25">
      <c r="A42" s="36" t="s">
        <v>332</v>
      </c>
      <c r="B42" s="37" t="s">
        <v>318</v>
      </c>
      <c r="C42" s="37" t="str">
        <f>INDEX('[1]Property Summary'!A:A,MATCH($A42,'[1]Property Summary'!$AC:$AC,FALSE))</f>
        <v>302 West McNeese Street</v>
      </c>
      <c r="D42" s="37" t="str">
        <f>INDEX('[1]Property Summary'!B:B,MATCH($A42,'[1]Property Summary'!$AC:$AC,FALSE))</f>
        <v>Lake Charles</v>
      </c>
      <c r="E42" s="37" t="str">
        <f>INDEX('[1]Property Summary'!C:C,MATCH($A42,'[1]Property Summary'!$AC:$AC,FALSE))</f>
        <v>LA</v>
      </c>
      <c r="F42" s="37">
        <f>INDEX('[1]Property Summary'!D:D,MATCH($A42,'[1]Property Summary'!$AC:$AC,FALSE))</f>
        <v>70605</v>
      </c>
      <c r="G42" s="37" t="str">
        <f>INDEX('[1]Property Summary'!E:E,MATCH($A42,'[1]Property Summary'!$AC:$AC,FALSE))</f>
        <v>Oceans Healthcare</v>
      </c>
      <c r="H42" s="37" t="str">
        <f>INDEX('[1]Property Summary'!F:F,MATCH($A42,'[1]Property Summary'!$AC:$AC,FALSE))</f>
        <v>Oceans Acquisition, Inc.</v>
      </c>
      <c r="I42" s="83" t="str">
        <f>INDEX('[1]Property Summary'!H:H,MATCH($A42,'[1]Property Summary'!$AC:$AC,FALSE))</f>
        <v>Health Care</v>
      </c>
      <c r="AR42" s="39">
        <v>1669044</v>
      </c>
      <c r="AS42" s="39">
        <v>1670862</v>
      </c>
      <c r="AT42" s="39">
        <v>1786005</v>
      </c>
      <c r="AU42" s="39">
        <v>1210820</v>
      </c>
      <c r="AV42" s="39">
        <v>1748207</v>
      </c>
      <c r="AW42" s="39">
        <v>1834010</v>
      </c>
      <c r="AX42" s="39">
        <v>1680183</v>
      </c>
      <c r="AY42" s="39">
        <v>1673336</v>
      </c>
      <c r="AZ42" s="39">
        <v>1803159</v>
      </c>
      <c r="BA42" s="39">
        <v>1805757</v>
      </c>
      <c r="BB42" s="39">
        <v>1881017</v>
      </c>
      <c r="BC42" s="39">
        <v>1767758</v>
      </c>
      <c r="BF42" s="39">
        <f>SUM(AR42:AU42)</f>
        <v>6336731</v>
      </c>
      <c r="BG42" s="39">
        <f t="shared" si="50"/>
        <v>6935736</v>
      </c>
      <c r="BH42" s="39">
        <f t="shared" si="53"/>
        <v>7257691</v>
      </c>
      <c r="BJ42" s="39">
        <f t="shared" si="54"/>
        <v>7257691</v>
      </c>
      <c r="BK42" s="39">
        <v>409668.80000000005</v>
      </c>
      <c r="BL42" s="39">
        <v>456091.80000000005</v>
      </c>
      <c r="BM42" s="39">
        <v>495419.28</v>
      </c>
      <c r="BN42" s="39">
        <v>-54277.979999999981</v>
      </c>
      <c r="BO42" s="39">
        <v>471808.02</v>
      </c>
      <c r="BP42" s="39">
        <v>548498.02</v>
      </c>
      <c r="BQ42" s="39">
        <v>365093.07999999996</v>
      </c>
      <c r="BR42" s="39">
        <v>365624.11</v>
      </c>
      <c r="BT42" s="39">
        <f>405034+CL42</f>
        <v>467030.11</v>
      </c>
      <c r="BU42" s="39">
        <f>328247+CM42</f>
        <v>390243.11</v>
      </c>
      <c r="BV42" s="39">
        <v>476787.37</v>
      </c>
      <c r="BW42" s="39">
        <v>326726</v>
      </c>
      <c r="BY42" s="39">
        <f>SUM(BK42:BN42)</f>
        <v>1306901.9000000001</v>
      </c>
      <c r="BZ42" s="39">
        <f t="shared" si="51"/>
        <v>1751023.23</v>
      </c>
      <c r="CA42" s="39">
        <f t="shared" si="55"/>
        <v>1660786.5899999999</v>
      </c>
      <c r="CC42" s="39">
        <f t="shared" si="56"/>
        <v>1660786.5899999999</v>
      </c>
      <c r="CD42" s="39">
        <v>59008.799999999996</v>
      </c>
      <c r="CE42" s="39">
        <v>59008.799999999996</v>
      </c>
      <c r="CF42" s="39">
        <v>59992.28</v>
      </c>
      <c r="CG42" s="39">
        <v>60484.020000000004</v>
      </c>
      <c r="CH42" s="39">
        <v>60484.020000000004</v>
      </c>
      <c r="CI42" s="39">
        <v>60484.020000000004</v>
      </c>
      <c r="CJ42" s="39">
        <v>61492.08</v>
      </c>
      <c r="CK42" s="39">
        <v>61996.11</v>
      </c>
      <c r="CL42" s="39">
        <v>61996.11</v>
      </c>
      <c r="CM42" s="39">
        <v>61996.11</v>
      </c>
      <c r="CN42" s="39">
        <v>63029</v>
      </c>
      <c r="CO42" s="39">
        <v>63546</v>
      </c>
      <c r="CQ42" s="39">
        <v>232676.95000000004</v>
      </c>
      <c r="CR42" s="39">
        <f t="shared" si="29"/>
        <v>238493.90000000002</v>
      </c>
      <c r="CS42" s="39">
        <f t="shared" si="30"/>
        <v>244456.22999999998</v>
      </c>
      <c r="CT42" s="39">
        <f t="shared" si="44"/>
        <v>250567.22</v>
      </c>
      <c r="CV42" s="39">
        <f t="shared" si="57"/>
        <v>250567.22</v>
      </c>
      <c r="CW42" s="43">
        <f t="shared" si="58"/>
        <v>0.24545116845331821</v>
      </c>
      <c r="CX42" s="43">
        <f t="shared" si="58"/>
        <v>0.27296796503840537</v>
      </c>
      <c r="CY42" s="43">
        <f t="shared" si="58"/>
        <v>0.27738963776697156</v>
      </c>
      <c r="CZ42" s="43">
        <f t="shared" si="58"/>
        <v>-4.4827455773773131E-2</v>
      </c>
      <c r="DA42" s="43">
        <f t="shared" si="58"/>
        <v>0.26988109531651572</v>
      </c>
      <c r="DB42" s="43">
        <f t="shared" si="58"/>
        <v>0.299070354032966</v>
      </c>
      <c r="DC42" s="43">
        <f t="shared" si="58"/>
        <v>0.21729364003801965</v>
      </c>
      <c r="DD42" s="43">
        <f t="shared" si="52"/>
        <v>0.21850011593607022</v>
      </c>
      <c r="DE42" s="43">
        <f t="shared" si="38"/>
        <v>0.25900661561182348</v>
      </c>
      <c r="DF42" s="43">
        <f t="shared" si="38"/>
        <v>0.21611053425239388</v>
      </c>
      <c r="DG42" s="43">
        <f t="shared" si="38"/>
        <v>0.25347318498450572</v>
      </c>
      <c r="DH42" s="43">
        <f t="shared" si="38"/>
        <v>0.18482507221011021</v>
      </c>
      <c r="DI42" s="43"/>
      <c r="DJ42" s="43" t="str">
        <f t="shared" si="41"/>
        <v/>
      </c>
      <c r="DK42" s="43">
        <f t="shared" si="41"/>
        <v>0.20624228801885391</v>
      </c>
      <c r="DL42" s="43">
        <f t="shared" si="41"/>
        <v>0.25246393893885233</v>
      </c>
      <c r="DM42" s="43">
        <f t="shared" si="41"/>
        <v>0.22883126189858452</v>
      </c>
      <c r="DN42" s="43"/>
      <c r="DO42" s="43">
        <f t="shared" si="4"/>
        <v>0.22883126189858452</v>
      </c>
      <c r="DP42" s="118">
        <f t="shared" si="32"/>
        <v>6.9425034910047332</v>
      </c>
      <c r="DQ42" s="118">
        <f t="shared" si="32"/>
        <v>7.7292166592101532</v>
      </c>
      <c r="DR42" s="118">
        <f t="shared" si="32"/>
        <v>8.2580505358356113</v>
      </c>
      <c r="DS42" s="118">
        <f t="shared" si="32"/>
        <v>-0.89739372482186164</v>
      </c>
      <c r="DT42" s="118">
        <f t="shared" si="32"/>
        <v>7.8005400434693328</v>
      </c>
      <c r="DU42" s="118">
        <f t="shared" si="32"/>
        <v>9.0684782526029188</v>
      </c>
      <c r="DV42" s="118">
        <f t="shared" si="32"/>
        <v>5.9372374458629462</v>
      </c>
      <c r="DW42" s="118">
        <f t="shared" si="32"/>
        <v>5.8975330871565967</v>
      </c>
      <c r="DX42" s="118">
        <f t="shared" si="39"/>
        <v>7.5332163582521545</v>
      </c>
      <c r="DY42" s="118">
        <f t="shared" si="39"/>
        <v>6.2946386474893341</v>
      </c>
      <c r="DZ42" s="118">
        <f t="shared" si="39"/>
        <v>7.5645713877738814</v>
      </c>
      <c r="EA42" s="118">
        <f t="shared" si="39"/>
        <v>5.1415667390551727</v>
      </c>
      <c r="EB42" s="118"/>
      <c r="EC42" s="118" t="str">
        <f t="shared" si="49"/>
        <v/>
      </c>
      <c r="ED42" s="118">
        <f t="shared" si="49"/>
        <v>5.4798126912260647</v>
      </c>
      <c r="EE42" s="118">
        <f t="shared" si="49"/>
        <v>7.1629314990254089</v>
      </c>
      <c r="EF42" s="118">
        <f t="shared" si="49"/>
        <v>6.6281079783700347</v>
      </c>
      <c r="EG42" s="118"/>
      <c r="EH42" s="118">
        <f t="shared" si="7"/>
        <v>6.6281079783700347</v>
      </c>
      <c r="EI42" s="43">
        <f t="shared" ref="EI42:EK74" si="61">IFERROR(CD42/AR42,"")</f>
        <v>3.5354849842185107E-2</v>
      </c>
      <c r="EJ42" s="43">
        <f t="shared" si="61"/>
        <v>3.5316381604225837E-2</v>
      </c>
      <c r="EK42" s="43">
        <f t="shared" si="61"/>
        <v>3.3590208314086469E-2</v>
      </c>
      <c r="EL42" s="43">
        <f t="shared" si="60"/>
        <v>4.9952940982144332E-2</v>
      </c>
      <c r="EM42" s="43">
        <f t="shared" si="60"/>
        <v>3.4597745003881124E-2</v>
      </c>
      <c r="EN42" s="43">
        <f t="shared" si="60"/>
        <v>3.2979111346175871E-2</v>
      </c>
      <c r="EO42" s="43">
        <f t="shared" si="60"/>
        <v>3.6598441955429856E-2</v>
      </c>
      <c r="EP42" s="43">
        <f t="shared" si="60"/>
        <v>3.7049409084607035E-2</v>
      </c>
      <c r="EQ42" s="43">
        <f t="shared" si="60"/>
        <v>3.4381943023327394E-2</v>
      </c>
      <c r="ER42" s="43">
        <f t="shared" si="60"/>
        <v>3.4332476628915184E-2</v>
      </c>
      <c r="ES42" s="43">
        <f t="shared" si="60"/>
        <v>3.350793746149025E-2</v>
      </c>
      <c r="ET42" s="43">
        <f t="shared" si="60"/>
        <v>3.5947228070810598E-2</v>
      </c>
      <c r="EU42" s="43"/>
      <c r="EV42" s="43" t="str">
        <f t="shared" si="59"/>
        <v/>
      </c>
      <c r="EW42" s="43">
        <f t="shared" si="59"/>
        <v>3.7636740458132124E-2</v>
      </c>
      <c r="EX42" s="43">
        <f t="shared" si="59"/>
        <v>3.5245896037565443E-2</v>
      </c>
      <c r="EY42" s="43">
        <f t="shared" si="59"/>
        <v>3.452437145643153E-2</v>
      </c>
      <c r="EZ42" s="43"/>
      <c r="FA42" s="43">
        <f t="shared" si="9"/>
        <v>3.452437145643153E-2</v>
      </c>
      <c r="FB42" s="120" t="str">
        <f t="shared" si="10"/>
        <v/>
      </c>
      <c r="FC42" s="52"/>
      <c r="FD42" s="122" t="str">
        <f t="shared" si="11"/>
        <v/>
      </c>
      <c r="FE42" s="123"/>
      <c r="FF42" s="49">
        <f t="shared" si="12"/>
        <v>7257691</v>
      </c>
      <c r="FG42" s="50">
        <f t="shared" si="46"/>
        <v>4.6419731085497018E-2</v>
      </c>
      <c r="FH42" s="49">
        <f t="shared" si="13"/>
        <v>1660786.5899999999</v>
      </c>
      <c r="FI42" s="50">
        <f t="shared" si="47"/>
        <v>-5.1533662406066494E-2</v>
      </c>
      <c r="FJ42" s="84">
        <f t="shared" si="14"/>
        <v>250567.22</v>
      </c>
      <c r="FK42" s="51">
        <f t="shared" si="15"/>
        <v>0.22883126189858452</v>
      </c>
      <c r="FL42" s="139">
        <f t="shared" si="16"/>
        <v>6.6281079783700347</v>
      </c>
      <c r="FM42" s="54">
        <f t="shared" si="48"/>
        <v>7.1629314990254089</v>
      </c>
      <c r="FN42" s="51">
        <f t="shared" si="18"/>
        <v>3.452437145643153E-2</v>
      </c>
      <c r="FO42" s="142" t="s">
        <v>40</v>
      </c>
      <c r="FP42" s="124" t="s">
        <v>66</v>
      </c>
      <c r="FR42" s="125" t="s">
        <v>113</v>
      </c>
      <c r="FS42" s="126" t="s">
        <v>113</v>
      </c>
      <c r="FT42" s="12" t="s">
        <v>280</v>
      </c>
      <c r="FV42" s="12" t="s">
        <v>113</v>
      </c>
      <c r="FX42" s="59" t="s">
        <v>241</v>
      </c>
    </row>
    <row r="43" spans="1:180" x14ac:dyDescent="0.25">
      <c r="A43" s="36" t="s">
        <v>333</v>
      </c>
      <c r="B43" s="37" t="s">
        <v>246</v>
      </c>
      <c r="C43" s="37" t="str">
        <f>INDEX('[1]Property Summary'!A:A,MATCH($A43,'[1]Property Summary'!$AC:$AC,FALSE))</f>
        <v>3916 Commerce Park Drive</v>
      </c>
      <c r="D43" s="37" t="str">
        <f>INDEX('[1]Property Summary'!B:B,MATCH($A43,'[1]Property Summary'!$AC:$AC,FALSE))</f>
        <v>Raleigh</v>
      </c>
      <c r="E43" s="37" t="str">
        <f>INDEX('[1]Property Summary'!C:C,MATCH($A43,'[1]Property Summary'!$AC:$AC,FALSE))</f>
        <v>NC</v>
      </c>
      <c r="F43" s="37">
        <f>INDEX('[1]Property Summary'!D:D,MATCH($A43,'[1]Property Summary'!$AC:$AC,FALSE))</f>
        <v>27610</v>
      </c>
      <c r="G43" s="37" t="str">
        <f>INDEX('[1]Property Summary'!E:E,MATCH($A43,'[1]Property Summary'!$AC:$AC,FALSE))</f>
        <v>GPM</v>
      </c>
      <c r="H43" s="37" t="str">
        <f>INDEX('[1]Property Summary'!F:F,MATCH($A43,'[1]Property Summary'!$AC:$AC,FALSE))</f>
        <v>GPM Empire, LLC</v>
      </c>
      <c r="I43" s="83" t="str">
        <f>INDEX('[1]Property Summary'!H:H,MATCH($A43,'[1]Property Summary'!$AC:$AC,FALSE))</f>
        <v>Convenience Stores</v>
      </c>
      <c r="AA43" s="117">
        <v>241780</v>
      </c>
      <c r="AB43" s="117">
        <v>246199</v>
      </c>
      <c r="AC43" s="117">
        <v>234818</v>
      </c>
      <c r="AD43" s="117">
        <v>223468</v>
      </c>
      <c r="AE43" s="117">
        <v>243450</v>
      </c>
      <c r="AF43" s="117">
        <v>265131</v>
      </c>
      <c r="AG43" s="117">
        <v>249088</v>
      </c>
      <c r="AH43" s="117">
        <v>244029</v>
      </c>
      <c r="AI43" s="117">
        <v>240479</v>
      </c>
      <c r="AJ43" s="117">
        <v>241733</v>
      </c>
      <c r="AK43" s="117">
        <v>225420</v>
      </c>
      <c r="AL43" s="117">
        <v>219300</v>
      </c>
      <c r="AM43" s="117">
        <v>438843</v>
      </c>
      <c r="AN43" s="117">
        <v>946266</v>
      </c>
      <c r="AO43" s="117">
        <f>SUM(AE43:AH43)</f>
        <v>1001698</v>
      </c>
      <c r="AP43" s="117">
        <f>SUM(AI43:AL43)</f>
        <v>926932</v>
      </c>
      <c r="AQ43" s="117">
        <f>SUM(AI43:AL43)</f>
        <v>926932</v>
      </c>
      <c r="AR43" s="39">
        <v>116498</v>
      </c>
      <c r="AS43" s="39">
        <v>135920</v>
      </c>
      <c r="AT43" s="39">
        <v>89416</v>
      </c>
      <c r="AU43" s="39">
        <v>88508</v>
      </c>
      <c r="AV43" s="39">
        <v>102580</v>
      </c>
      <c r="AW43" s="39">
        <v>132553</v>
      </c>
      <c r="AX43" s="39">
        <v>153818</v>
      </c>
      <c r="AY43" s="39">
        <v>152931</v>
      </c>
      <c r="AZ43" s="39">
        <v>135896</v>
      </c>
      <c r="BA43" s="39">
        <v>143880</v>
      </c>
      <c r="BB43" s="39">
        <v>118355</v>
      </c>
      <c r="BC43" s="39">
        <v>95817</v>
      </c>
      <c r="BE43" s="39">
        <v>211075</v>
      </c>
      <c r="BF43" s="39">
        <v>430341</v>
      </c>
      <c r="BG43" s="39">
        <f t="shared" si="50"/>
        <v>541882</v>
      </c>
      <c r="BH43" s="39">
        <f t="shared" si="53"/>
        <v>493948</v>
      </c>
      <c r="BJ43" s="39">
        <f t="shared" si="54"/>
        <v>493948</v>
      </c>
      <c r="BK43" s="39">
        <f>91820+16985</f>
        <v>108805</v>
      </c>
      <c r="BL43" s="39">
        <f>111913+16985</f>
        <v>128898</v>
      </c>
      <c r="BM43" s="39">
        <f>70487+16985</f>
        <v>87472</v>
      </c>
      <c r="BN43" s="39">
        <f>53272+16985</f>
        <v>70257</v>
      </c>
      <c r="BO43" s="39">
        <f>73817+16645</f>
        <v>90462</v>
      </c>
      <c r="BP43" s="39">
        <f>112394+15966</f>
        <v>128360</v>
      </c>
      <c r="BQ43" s="39">
        <f>134060+15966</f>
        <v>150026</v>
      </c>
      <c r="BR43" s="39">
        <f>127387+15966</f>
        <v>143353</v>
      </c>
      <c r="BT43" s="39">
        <f>102389+15966</f>
        <v>118355</v>
      </c>
      <c r="BU43" s="39">
        <f>109139+15966</f>
        <v>125105</v>
      </c>
      <c r="BV43" s="39">
        <f>77492+15966</f>
        <v>93458</v>
      </c>
      <c r="BW43" s="39">
        <f>78683+15966</f>
        <v>94649</v>
      </c>
      <c r="BX43" s="39">
        <f>173929+30135</f>
        <v>204064</v>
      </c>
      <c r="BY43" s="39">
        <f>327492+67941</f>
        <v>395433</v>
      </c>
      <c r="BZ43" s="39">
        <f t="shared" si="51"/>
        <v>512201</v>
      </c>
      <c r="CA43" s="39">
        <f t="shared" si="55"/>
        <v>431567</v>
      </c>
      <c r="CC43" s="39">
        <f t="shared" si="56"/>
        <v>431567</v>
      </c>
      <c r="CD43" s="39">
        <v>16985.099999999999</v>
      </c>
      <c r="CE43" s="39">
        <v>16985.099999999999</v>
      </c>
      <c r="CF43" s="39">
        <v>16985.099999999999</v>
      </c>
      <c r="CG43" s="39">
        <v>16985.099999999999</v>
      </c>
      <c r="CH43" s="39">
        <v>16645.400000000001</v>
      </c>
      <c r="CI43" s="39">
        <v>15966</v>
      </c>
      <c r="CJ43" s="39">
        <v>15966</v>
      </c>
      <c r="CK43" s="39">
        <v>15966</v>
      </c>
      <c r="CL43" s="39">
        <v>15966</v>
      </c>
      <c r="CM43" s="39">
        <v>15966</v>
      </c>
      <c r="CN43" s="39">
        <v>15966</v>
      </c>
      <c r="CO43" s="39">
        <v>15966</v>
      </c>
      <c r="CQ43" s="39">
        <v>67940.39999999998</v>
      </c>
      <c r="CR43" s="39">
        <f t="shared" si="29"/>
        <v>67940.399999999994</v>
      </c>
      <c r="CS43" s="39">
        <f t="shared" si="30"/>
        <v>64543.4</v>
      </c>
      <c r="CT43" s="39">
        <f t="shared" si="44"/>
        <v>63864</v>
      </c>
      <c r="CV43" s="39">
        <f t="shared" si="57"/>
        <v>63864</v>
      </c>
      <c r="CW43" s="43">
        <f t="shared" si="58"/>
        <v>0.9339645315799413</v>
      </c>
      <c r="CX43" s="43">
        <f t="shared" si="58"/>
        <v>0.94833725721012363</v>
      </c>
      <c r="CY43" s="43">
        <f t="shared" si="58"/>
        <v>0.97825892457725683</v>
      </c>
      <c r="CZ43" s="43">
        <f t="shared" si="58"/>
        <v>0.79379265151172773</v>
      </c>
      <c r="DA43" s="43">
        <f t="shared" si="58"/>
        <v>0.88186781048937413</v>
      </c>
      <c r="DB43" s="43">
        <f t="shared" si="58"/>
        <v>0.96836737003311879</v>
      </c>
      <c r="DC43" s="43">
        <f t="shared" si="58"/>
        <v>0.97534748859041209</v>
      </c>
      <c r="DD43" s="43">
        <f t="shared" si="52"/>
        <v>0.93737044811058579</v>
      </c>
      <c r="DE43" s="43">
        <f t="shared" si="38"/>
        <v>0.87092335315241065</v>
      </c>
      <c r="DF43" s="43">
        <f t="shared" si="38"/>
        <v>0.86950931331665282</v>
      </c>
      <c r="DG43" s="43">
        <f t="shared" si="38"/>
        <v>0.78964133327700559</v>
      </c>
      <c r="DH43" s="43">
        <f t="shared" si="38"/>
        <v>0.98781009632946137</v>
      </c>
      <c r="DI43" s="43"/>
      <c r="DJ43" s="43">
        <f t="shared" si="41"/>
        <v>0.96678431837024759</v>
      </c>
      <c r="DK43" s="43">
        <f t="shared" si="41"/>
        <v>0.91888293237223506</v>
      </c>
      <c r="DL43" s="43">
        <f t="shared" si="41"/>
        <v>0.94522608243123041</v>
      </c>
      <c r="DM43" s="43">
        <f t="shared" si="41"/>
        <v>0.87370937831512629</v>
      </c>
      <c r="DN43" s="43"/>
      <c r="DO43" s="43">
        <f t="shared" si="4"/>
        <v>0.87370937831512629</v>
      </c>
      <c r="DP43" s="118">
        <f t="shared" si="32"/>
        <v>6.4059087082207355</v>
      </c>
      <c r="DQ43" s="118">
        <f t="shared" si="32"/>
        <v>7.5888867301340595</v>
      </c>
      <c r="DR43" s="118">
        <f t="shared" si="32"/>
        <v>5.149925522958358</v>
      </c>
      <c r="DS43" s="118">
        <f t="shared" si="32"/>
        <v>4.1363901301729165</v>
      </c>
      <c r="DT43" s="118">
        <f t="shared" si="32"/>
        <v>5.4346546192942187</v>
      </c>
      <c r="DU43" s="118">
        <f t="shared" si="32"/>
        <v>8.0395841162470241</v>
      </c>
      <c r="DV43" s="118">
        <f t="shared" si="32"/>
        <v>9.3965927596141796</v>
      </c>
      <c r="DW43" s="118">
        <f t="shared" si="32"/>
        <v>8.9786421144932991</v>
      </c>
      <c r="DX43" s="118">
        <f t="shared" si="39"/>
        <v>7.4129399974946759</v>
      </c>
      <c r="DY43" s="118">
        <f t="shared" si="39"/>
        <v>7.8357133909557808</v>
      </c>
      <c r="DZ43" s="118">
        <f t="shared" si="39"/>
        <v>5.8535638231241389</v>
      </c>
      <c r="EA43" s="118">
        <f t="shared" si="39"/>
        <v>5.9281598396592763</v>
      </c>
      <c r="EB43" s="118"/>
      <c r="EC43" s="118">
        <f t="shared" si="49"/>
        <v>3.0035737204962003</v>
      </c>
      <c r="ED43" s="118">
        <f t="shared" si="49"/>
        <v>5.8202924916544507</v>
      </c>
      <c r="EE43" s="118">
        <f t="shared" si="49"/>
        <v>7.9357610538025574</v>
      </c>
      <c r="EF43" s="118">
        <f t="shared" si="49"/>
        <v>6.7575942628084684</v>
      </c>
      <c r="EG43" s="118"/>
      <c r="EH43" s="118">
        <f t="shared" si="7"/>
        <v>6.7575942628084684</v>
      </c>
      <c r="EI43" s="43">
        <f t="shared" si="61"/>
        <v>0.14579735274425309</v>
      </c>
      <c r="EJ43" s="43">
        <f t="shared" si="61"/>
        <v>0.12496394938198939</v>
      </c>
      <c r="EK43" s="43">
        <f t="shared" si="61"/>
        <v>0.18995593629775431</v>
      </c>
      <c r="EL43" s="43">
        <f t="shared" si="60"/>
        <v>0.19190468658200388</v>
      </c>
      <c r="EM43" s="43">
        <f t="shared" si="60"/>
        <v>0.16226749853772668</v>
      </c>
      <c r="EN43" s="43">
        <f t="shared" si="60"/>
        <v>0.12044993323425347</v>
      </c>
      <c r="EO43" s="43">
        <f t="shared" si="60"/>
        <v>0.10379799503309106</v>
      </c>
      <c r="EP43" s="43">
        <f t="shared" si="60"/>
        <v>0.10440002354002785</v>
      </c>
      <c r="EQ43" s="43">
        <f t="shared" si="60"/>
        <v>0.11748690174839584</v>
      </c>
      <c r="ER43" s="43">
        <f t="shared" si="60"/>
        <v>0.11096747289407839</v>
      </c>
      <c r="ES43" s="43">
        <f t="shared" si="60"/>
        <v>0.13489924380043092</v>
      </c>
      <c r="ET43" s="43">
        <f t="shared" si="60"/>
        <v>0.16663013870190049</v>
      </c>
      <c r="EU43" s="43"/>
      <c r="EV43" s="43">
        <f t="shared" si="59"/>
        <v>0.32187800544830025</v>
      </c>
      <c r="EW43" s="43">
        <f t="shared" si="59"/>
        <v>0.15787573110626224</v>
      </c>
      <c r="EX43" s="43">
        <f t="shared" si="59"/>
        <v>0.11910969546875519</v>
      </c>
      <c r="EY43" s="43">
        <f t="shared" si="59"/>
        <v>0.12929296201219562</v>
      </c>
      <c r="EZ43" s="43"/>
      <c r="FA43" s="43">
        <f t="shared" si="9"/>
        <v>0.12929296201219562</v>
      </c>
      <c r="FB43" s="120" t="str">
        <f t="shared" si="10"/>
        <v/>
      </c>
      <c r="FC43" s="52"/>
      <c r="FD43" s="122">
        <f t="shared" si="11"/>
        <v>926932</v>
      </c>
      <c r="FE43" s="66">
        <f>FD43/AO43-1</f>
        <v>-7.4639262532220307E-2</v>
      </c>
      <c r="FF43" s="49">
        <f t="shared" si="12"/>
        <v>493948</v>
      </c>
      <c r="FG43" s="50">
        <f t="shared" si="46"/>
        <v>-8.8458372856083045E-2</v>
      </c>
      <c r="FH43" s="49">
        <f t="shared" si="13"/>
        <v>431567</v>
      </c>
      <c r="FI43" s="50">
        <f t="shared" si="47"/>
        <v>-0.15742647905802609</v>
      </c>
      <c r="FJ43" s="84">
        <f t="shared" si="14"/>
        <v>63864</v>
      </c>
      <c r="FK43" s="51">
        <f t="shared" si="15"/>
        <v>0.87370937831512629</v>
      </c>
      <c r="FL43" s="139">
        <f t="shared" si="16"/>
        <v>6.7575942628084684</v>
      </c>
      <c r="FM43" s="54">
        <f t="shared" si="48"/>
        <v>7.9357610538025574</v>
      </c>
      <c r="FN43" s="51">
        <f t="shared" si="18"/>
        <v>0.12929296201219562</v>
      </c>
      <c r="FO43" s="55" t="s">
        <v>40</v>
      </c>
      <c r="FP43" s="124" t="s">
        <v>66</v>
      </c>
      <c r="FR43" s="125" t="s">
        <v>113</v>
      </c>
      <c r="FS43" s="126" t="s">
        <v>113</v>
      </c>
      <c r="FT43" s="12" t="s">
        <v>249</v>
      </c>
      <c r="FX43" s="59" t="s">
        <v>252</v>
      </c>
    </row>
    <row r="44" spans="1:180" x14ac:dyDescent="0.25">
      <c r="A44" s="36" t="s">
        <v>334</v>
      </c>
      <c r="B44" s="37" t="s">
        <v>246</v>
      </c>
      <c r="C44" s="37" t="str">
        <f>INDEX('[1]Property Summary'!A:A,MATCH($A44,'[1]Property Summary'!$AC:$AC,FALSE))</f>
        <v>1210 East Trinity Avenue</v>
      </c>
      <c r="D44" s="37" t="str">
        <f>INDEX('[1]Property Summary'!B:B,MATCH($A44,'[1]Property Summary'!$AC:$AC,FALSE))</f>
        <v>High Point</v>
      </c>
      <c r="E44" s="37" t="str">
        <f>INDEX('[1]Property Summary'!C:C,MATCH($A44,'[1]Property Summary'!$AC:$AC,FALSE))</f>
        <v>NC</v>
      </c>
      <c r="F44" s="37">
        <f>INDEX('[1]Property Summary'!D:D,MATCH($A44,'[1]Property Summary'!$AC:$AC,FALSE))</f>
        <v>27260</v>
      </c>
      <c r="G44" s="37" t="str">
        <f>INDEX('[1]Property Summary'!E:E,MATCH($A44,'[1]Property Summary'!$AC:$AC,FALSE))</f>
        <v>GPM</v>
      </c>
      <c r="H44" s="37" t="str">
        <f>INDEX('[1]Property Summary'!F:F,MATCH($A44,'[1]Property Summary'!$AC:$AC,FALSE))</f>
        <v>GPM Empire, LLC</v>
      </c>
      <c r="I44" s="83" t="str">
        <f>INDEX('[1]Property Summary'!H:H,MATCH($A44,'[1]Property Summary'!$AC:$AC,FALSE))</f>
        <v>Convenience Stores</v>
      </c>
      <c r="AA44" s="117">
        <v>176756</v>
      </c>
      <c r="AB44" s="117">
        <v>190511</v>
      </c>
      <c r="AC44" s="117">
        <v>189700</v>
      </c>
      <c r="AD44" s="117">
        <v>181919</v>
      </c>
      <c r="AE44" s="117">
        <v>219957</v>
      </c>
      <c r="AF44" s="117">
        <v>249523</v>
      </c>
      <c r="AG44" s="117">
        <v>239112</v>
      </c>
      <c r="AH44" s="117">
        <v>220087</v>
      </c>
      <c r="AI44" s="117">
        <v>215946</v>
      </c>
      <c r="AJ44" s="117">
        <v>240661</v>
      </c>
      <c r="AK44" s="117">
        <v>253354</v>
      </c>
      <c r="AL44" s="117">
        <v>231976</v>
      </c>
      <c r="AM44" s="117">
        <v>303252</v>
      </c>
      <c r="AN44" s="117">
        <v>738885</v>
      </c>
      <c r="AO44" s="117">
        <f>SUM(AE44:AH44)</f>
        <v>928679</v>
      </c>
      <c r="AP44" s="117">
        <f>SUM(AI44:AL44)</f>
        <v>941937</v>
      </c>
      <c r="AQ44" s="117">
        <f>SUM(AI44:AL44)</f>
        <v>941937</v>
      </c>
      <c r="AR44" s="39">
        <v>70465</v>
      </c>
      <c r="AS44" s="39">
        <v>81755</v>
      </c>
      <c r="AT44" s="39">
        <v>65506</v>
      </c>
      <c r="AU44" s="39">
        <v>59852</v>
      </c>
      <c r="AV44" s="39">
        <v>71641</v>
      </c>
      <c r="AW44" s="39">
        <v>107093</v>
      </c>
      <c r="AX44" s="39">
        <v>94410</v>
      </c>
      <c r="AY44" s="39">
        <v>65907</v>
      </c>
      <c r="AZ44" s="39">
        <v>77644</v>
      </c>
      <c r="BA44" s="39">
        <v>105169</v>
      </c>
      <c r="BB44" s="39">
        <v>96359</v>
      </c>
      <c r="BC44" s="39">
        <v>87951</v>
      </c>
      <c r="BE44" s="39">
        <v>145630</v>
      </c>
      <c r="BF44" s="39">
        <v>277578</v>
      </c>
      <c r="BG44" s="39">
        <f t="shared" si="50"/>
        <v>339051</v>
      </c>
      <c r="BH44" s="39">
        <f t="shared" si="53"/>
        <v>367123</v>
      </c>
      <c r="BJ44" s="39">
        <f t="shared" si="54"/>
        <v>367123</v>
      </c>
      <c r="BK44" s="39">
        <f>44286+10151</f>
        <v>54437</v>
      </c>
      <c r="BL44" s="39">
        <f>50190+10151</f>
        <v>60341</v>
      </c>
      <c r="BM44" s="39">
        <f>34355+10151</f>
        <v>44506</v>
      </c>
      <c r="BN44" s="39">
        <f>30362+10151</f>
        <v>40513</v>
      </c>
      <c r="BO44" s="39">
        <f>36938+9948</f>
        <v>46886</v>
      </c>
      <c r="BP44" s="39">
        <f>87459+9542</f>
        <v>97001</v>
      </c>
      <c r="BQ44" s="39">
        <f>80705+9542</f>
        <v>90247</v>
      </c>
      <c r="BR44" s="39">
        <f>46260+9542</f>
        <v>55802</v>
      </c>
      <c r="BT44" s="39">
        <f>51946+9542</f>
        <v>61488</v>
      </c>
      <c r="BU44" s="39">
        <f>81626+9542</f>
        <v>91168</v>
      </c>
      <c r="BV44" s="39">
        <f>69977+9542</f>
        <v>79519</v>
      </c>
      <c r="BW44" s="39">
        <f>68271+9542</f>
        <v>77813</v>
      </c>
      <c r="BX44" s="39">
        <f>111177+18010</f>
        <v>129187</v>
      </c>
      <c r="BY44" s="39">
        <f>159193+40605</f>
        <v>199798</v>
      </c>
      <c r="BZ44" s="39">
        <f t="shared" si="51"/>
        <v>289936</v>
      </c>
      <c r="CA44" s="39">
        <f t="shared" si="55"/>
        <v>309988</v>
      </c>
      <c r="CC44" s="39">
        <f t="shared" si="56"/>
        <v>309988</v>
      </c>
      <c r="CD44" s="39">
        <v>10151.280000000001</v>
      </c>
      <c r="CE44" s="39">
        <v>10151.280000000001</v>
      </c>
      <c r="CF44" s="39">
        <v>10151.280000000001</v>
      </c>
      <c r="CG44" s="39">
        <v>10151.280000000001</v>
      </c>
      <c r="CH44" s="39">
        <v>9948.25</v>
      </c>
      <c r="CI44" s="39">
        <v>9542.19</v>
      </c>
      <c r="CJ44" s="39">
        <v>9542.19</v>
      </c>
      <c r="CK44" s="39">
        <v>9542.19</v>
      </c>
      <c r="CL44" s="39">
        <v>9542.19</v>
      </c>
      <c r="CM44" s="39">
        <v>9542.19</v>
      </c>
      <c r="CN44" s="39">
        <v>9542.19</v>
      </c>
      <c r="CO44" s="39">
        <v>9542</v>
      </c>
      <c r="CQ44" s="39">
        <v>40605.120000000017</v>
      </c>
      <c r="CR44" s="39">
        <f t="shared" si="29"/>
        <v>40605.120000000003</v>
      </c>
      <c r="CS44" s="39">
        <f t="shared" si="30"/>
        <v>38574.820000000007</v>
      </c>
      <c r="CT44" s="39">
        <f t="shared" si="44"/>
        <v>38168.57</v>
      </c>
      <c r="CV44" s="39">
        <f t="shared" si="57"/>
        <v>38168.57</v>
      </c>
      <c r="CW44" s="43">
        <f t="shared" si="58"/>
        <v>0.77253955864613633</v>
      </c>
      <c r="CX44" s="43">
        <f t="shared" si="58"/>
        <v>0.73807106598984773</v>
      </c>
      <c r="CY44" s="43">
        <f t="shared" si="58"/>
        <v>0.67941867920495835</v>
      </c>
      <c r="CZ44" s="43">
        <f t="shared" si="58"/>
        <v>0.6768863195883178</v>
      </c>
      <c r="DA44" s="43">
        <f t="shared" si="58"/>
        <v>0.6544576429698078</v>
      </c>
      <c r="DB44" s="43">
        <f t="shared" si="58"/>
        <v>0.90576414891729617</v>
      </c>
      <c r="DC44" s="43">
        <f t="shared" si="58"/>
        <v>0.95590509479927976</v>
      </c>
      <c r="DD44" s="43">
        <f t="shared" si="52"/>
        <v>0.84667789460907039</v>
      </c>
      <c r="DE44" s="43">
        <f t="shared" si="38"/>
        <v>0.79192210602235846</v>
      </c>
      <c r="DF44" s="43">
        <f t="shared" si="38"/>
        <v>0.86687141648204313</v>
      </c>
      <c r="DG44" s="43">
        <f t="shared" si="38"/>
        <v>0.82523687460434414</v>
      </c>
      <c r="DH44" s="43">
        <f t="shared" si="38"/>
        <v>0.88473127082125269</v>
      </c>
      <c r="DI44" s="43"/>
      <c r="DJ44" s="43">
        <f t="shared" si="41"/>
        <v>0.88709057199752794</v>
      </c>
      <c r="DK44" s="43">
        <f t="shared" si="41"/>
        <v>0.7197904733084034</v>
      </c>
      <c r="DL44" s="43">
        <f t="shared" si="41"/>
        <v>0.85513978722964978</v>
      </c>
      <c r="DM44" s="43">
        <f t="shared" si="41"/>
        <v>0.84437096014142399</v>
      </c>
      <c r="DN44" s="43"/>
      <c r="DO44" s="43">
        <f t="shared" si="4"/>
        <v>0.84437096014142399</v>
      </c>
      <c r="DP44" s="118">
        <f t="shared" si="32"/>
        <v>5.3625749659156279</v>
      </c>
      <c r="DQ44" s="118">
        <f t="shared" si="32"/>
        <v>5.9441764979391758</v>
      </c>
      <c r="DR44" s="118">
        <f t="shared" si="32"/>
        <v>4.3842746924525775</v>
      </c>
      <c r="DS44" s="118">
        <f t="shared" si="32"/>
        <v>3.9909252823289276</v>
      </c>
      <c r="DT44" s="118">
        <f t="shared" si="32"/>
        <v>4.7129897218103682</v>
      </c>
      <c r="DU44" s="118">
        <f t="shared" si="32"/>
        <v>10.165486120062585</v>
      </c>
      <c r="DV44" s="118">
        <f t="shared" si="32"/>
        <v>9.4576821463416678</v>
      </c>
      <c r="DW44" s="118">
        <f t="shared" si="32"/>
        <v>5.847923799463226</v>
      </c>
      <c r="DX44" s="118">
        <f t="shared" si="39"/>
        <v>6.4438037808930648</v>
      </c>
      <c r="DY44" s="118">
        <f t="shared" si="39"/>
        <v>9.5542008700308827</v>
      </c>
      <c r="DZ44" s="118">
        <f t="shared" si="39"/>
        <v>8.3334119316425266</v>
      </c>
      <c r="EA44" s="118">
        <f t="shared" si="39"/>
        <v>8.1547893523370369</v>
      </c>
      <c r="EB44" s="118"/>
      <c r="EC44" s="118">
        <f t="shared" si="49"/>
        <v>3.1815445933911768</v>
      </c>
      <c r="ED44" s="118">
        <f t="shared" si="49"/>
        <v>4.9205124870952233</v>
      </c>
      <c r="EE44" s="118">
        <f t="shared" si="49"/>
        <v>7.5161983905563252</v>
      </c>
      <c r="EF44" s="118">
        <f t="shared" si="49"/>
        <v>8.1215513182705035</v>
      </c>
      <c r="EG44" s="118"/>
      <c r="EH44" s="118">
        <f t="shared" si="7"/>
        <v>8.1215513182705035</v>
      </c>
      <c r="EI44" s="43">
        <f t="shared" si="61"/>
        <v>0.14406130703185979</v>
      </c>
      <c r="EJ44" s="43">
        <f t="shared" si="61"/>
        <v>0.12416708458198276</v>
      </c>
      <c r="EK44" s="43">
        <f t="shared" si="61"/>
        <v>0.15496717857906148</v>
      </c>
      <c r="EL44" s="43">
        <f t="shared" si="60"/>
        <v>0.1696063623604892</v>
      </c>
      <c r="EM44" s="43">
        <f t="shared" si="60"/>
        <v>0.13886252285702322</v>
      </c>
      <c r="EN44" s="43">
        <f t="shared" si="60"/>
        <v>8.9101902085103601E-2</v>
      </c>
      <c r="EO44" s="43">
        <f t="shared" si="60"/>
        <v>0.10107181442643788</v>
      </c>
      <c r="EP44" s="43">
        <f t="shared" si="60"/>
        <v>0.14478264827711776</v>
      </c>
      <c r="EQ44" s="43">
        <f t="shared" si="60"/>
        <v>0.1228966822935449</v>
      </c>
      <c r="ER44" s="43">
        <f t="shared" si="60"/>
        <v>9.0731964742462132E-2</v>
      </c>
      <c r="ES44" s="43">
        <f t="shared" si="60"/>
        <v>9.9027490945319069E-2</v>
      </c>
      <c r="ET44" s="43">
        <f t="shared" si="60"/>
        <v>0.10849222862730384</v>
      </c>
      <c r="EU44" s="43"/>
      <c r="EV44" s="43">
        <f t="shared" si="59"/>
        <v>0.27882386870837067</v>
      </c>
      <c r="EW44" s="43">
        <f t="shared" si="59"/>
        <v>0.14628363919330784</v>
      </c>
      <c r="EX44" s="43">
        <f t="shared" si="59"/>
        <v>0.11377291321954516</v>
      </c>
      <c r="EY44" s="43">
        <f t="shared" si="59"/>
        <v>0.10396670870525682</v>
      </c>
      <c r="EZ44" s="43"/>
      <c r="FA44" s="43">
        <f t="shared" si="9"/>
        <v>0.10396670870525682</v>
      </c>
      <c r="FB44" s="120" t="str">
        <f t="shared" si="10"/>
        <v/>
      </c>
      <c r="FC44" s="52"/>
      <c r="FD44" s="122">
        <f t="shared" si="11"/>
        <v>941937</v>
      </c>
      <c r="FE44" s="66">
        <f>FD44/AO44-1</f>
        <v>1.4276192311875269E-2</v>
      </c>
      <c r="FF44" s="49">
        <f t="shared" si="12"/>
        <v>367123</v>
      </c>
      <c r="FG44" s="50">
        <f t="shared" si="46"/>
        <v>8.2795803581172223E-2</v>
      </c>
      <c r="FH44" s="49">
        <f t="shared" si="13"/>
        <v>309988</v>
      </c>
      <c r="FI44" s="50">
        <f t="shared" si="47"/>
        <v>6.9160090502731641E-2</v>
      </c>
      <c r="FJ44" s="84">
        <f t="shared" si="14"/>
        <v>38168.57</v>
      </c>
      <c r="FK44" s="51">
        <f t="shared" si="15"/>
        <v>0.84437096014142399</v>
      </c>
      <c r="FL44" s="139">
        <f t="shared" si="16"/>
        <v>8.1215513182705035</v>
      </c>
      <c r="FM44" s="54">
        <f t="shared" si="48"/>
        <v>7.5161983905563252</v>
      </c>
      <c r="FN44" s="51">
        <f t="shared" si="18"/>
        <v>0.10396670870525682</v>
      </c>
      <c r="FO44" s="55" t="s">
        <v>40</v>
      </c>
      <c r="FP44" s="124" t="s">
        <v>66</v>
      </c>
      <c r="FR44" s="125" t="s">
        <v>113</v>
      </c>
      <c r="FS44" s="126" t="s">
        <v>113</v>
      </c>
      <c r="FT44" s="12" t="s">
        <v>249</v>
      </c>
      <c r="FU44" s="12" t="s">
        <v>316</v>
      </c>
      <c r="FX44" s="59" t="s">
        <v>252</v>
      </c>
    </row>
    <row r="45" spans="1:180" x14ac:dyDescent="0.25">
      <c r="A45" s="145" t="s">
        <v>335</v>
      </c>
      <c r="B45" s="78" t="s">
        <v>246</v>
      </c>
      <c r="C45" s="78" t="str">
        <f>INDEX('[1]Property Summary'!A:A,MATCH($A45,'[1]Property Summary'!$AC:$AC,FALSE))</f>
        <v>160 Jeffrey Way</v>
      </c>
      <c r="D45" s="78" t="str">
        <f>INDEX('[1]Property Summary'!B:B,MATCH($A45,'[1]Property Summary'!$AC:$AC,FALSE))</f>
        <v>Franklin</v>
      </c>
      <c r="E45" s="78" t="str">
        <f>INDEX('[1]Property Summary'!C:C,MATCH($A45,'[1]Property Summary'!$AC:$AC,FALSE))</f>
        <v>NC</v>
      </c>
      <c r="F45" s="78">
        <f>INDEX('[1]Property Summary'!D:D,MATCH($A45,'[1]Property Summary'!$AC:$AC,FALSE))</f>
        <v>27596</v>
      </c>
      <c r="G45" s="78" t="str">
        <f>INDEX('[1]Property Summary'!E:E,MATCH($A45,'[1]Property Summary'!$AC:$AC,FALSE))</f>
        <v>GPM</v>
      </c>
      <c r="H45" s="78" t="str">
        <f>INDEX('[1]Property Summary'!F:F,MATCH($A45,'[1]Property Summary'!$AC:$AC,FALSE))</f>
        <v>GPM Empire, LLC</v>
      </c>
      <c r="I45" s="146" t="str">
        <f>INDEX('[1]Property Summary'!H:H,MATCH($A45,'[1]Property Summary'!$AC:$AC,FALSE))</f>
        <v>Convenience Stores</v>
      </c>
      <c r="AA45" s="117">
        <v>124315</v>
      </c>
      <c r="AB45" s="117">
        <v>133010</v>
      </c>
      <c r="AC45" s="117">
        <v>148448</v>
      </c>
      <c r="AD45" s="117">
        <v>129579</v>
      </c>
      <c r="AE45" s="117">
        <v>139045</v>
      </c>
      <c r="AF45" s="117">
        <v>149264</v>
      </c>
      <c r="AG45" s="117">
        <v>132416</v>
      </c>
      <c r="AH45" s="117">
        <v>128906</v>
      </c>
      <c r="AI45" s="117">
        <v>122790</v>
      </c>
      <c r="AJ45" s="117">
        <v>127482</v>
      </c>
      <c r="AK45" s="117">
        <v>126953</v>
      </c>
      <c r="AL45" s="117">
        <v>117236</v>
      </c>
      <c r="AM45" s="117">
        <v>203055</v>
      </c>
      <c r="AN45" s="117">
        <v>535352</v>
      </c>
      <c r="AO45" s="117">
        <f>SUM(AE45:AH45)</f>
        <v>549631</v>
      </c>
      <c r="AP45" s="117">
        <f>SUM(AI45:AL45)</f>
        <v>494461</v>
      </c>
      <c r="AQ45" s="117">
        <f>SUM(AH45:AK45)</f>
        <v>506131</v>
      </c>
      <c r="AR45" s="39">
        <v>48343</v>
      </c>
      <c r="AS45" s="39">
        <v>50882</v>
      </c>
      <c r="AT45" s="39">
        <v>52992</v>
      </c>
      <c r="AU45" s="39">
        <v>37253</v>
      </c>
      <c r="AV45" s="39">
        <v>53638</v>
      </c>
      <c r="AW45" s="39">
        <v>57680</v>
      </c>
      <c r="AX45" s="39">
        <v>68362</v>
      </c>
      <c r="AY45" s="39">
        <v>66132</v>
      </c>
      <c r="AZ45" s="39">
        <v>61339</v>
      </c>
      <c r="BA45" s="39">
        <v>72558</v>
      </c>
      <c r="BB45" s="39">
        <v>61419</v>
      </c>
      <c r="BC45" s="39">
        <v>56014</v>
      </c>
      <c r="BE45" s="39">
        <v>74870</v>
      </c>
      <c r="BF45" s="39">
        <v>189470</v>
      </c>
      <c r="BG45" s="39">
        <f t="shared" si="50"/>
        <v>245812</v>
      </c>
      <c r="BH45" s="39">
        <f t="shared" si="53"/>
        <v>251330</v>
      </c>
      <c r="BJ45" s="39">
        <f t="shared" si="54"/>
        <v>251330</v>
      </c>
      <c r="BK45" s="39">
        <f>30809+2756</f>
        <v>33565</v>
      </c>
      <c r="BL45" s="39">
        <f>35774+2756</f>
        <v>38530</v>
      </c>
      <c r="BM45" s="39">
        <f>40033+2756</f>
        <v>42789</v>
      </c>
      <c r="BN45" s="39">
        <f>19275+2756</f>
        <v>22031</v>
      </c>
      <c r="BO45" s="39">
        <f>34526+2701</f>
        <v>37227</v>
      </c>
      <c r="BP45" s="39">
        <f>43197+2591</f>
        <v>45788</v>
      </c>
      <c r="BQ45" s="39">
        <f>57308+2591</f>
        <v>59899</v>
      </c>
      <c r="BR45" s="39">
        <f>49276+2591</f>
        <v>51867</v>
      </c>
      <c r="BT45" s="39">
        <f>45568+2591</f>
        <v>48159</v>
      </c>
      <c r="BU45" s="39">
        <f>52391+2591</f>
        <v>54982</v>
      </c>
      <c r="BV45" s="39">
        <f>37833+2591</f>
        <v>40424</v>
      </c>
      <c r="BW45" s="39">
        <f>39988+2591</f>
        <v>42579</v>
      </c>
      <c r="BX45" s="39">
        <f>52885+4890</f>
        <v>57775</v>
      </c>
      <c r="BY45" s="39">
        <f>125891+11025</f>
        <v>136916</v>
      </c>
      <c r="BZ45" s="39">
        <f t="shared" si="51"/>
        <v>194781</v>
      </c>
      <c r="CA45" s="39">
        <f t="shared" si="55"/>
        <v>186144</v>
      </c>
      <c r="CC45" s="39">
        <f t="shared" si="56"/>
        <v>186144</v>
      </c>
      <c r="CD45" s="39">
        <v>2756.25</v>
      </c>
      <c r="CE45" s="39">
        <v>2756.25</v>
      </c>
      <c r="CF45" s="39">
        <v>2756.25</v>
      </c>
      <c r="CG45" s="39">
        <v>2756.25</v>
      </c>
      <c r="CH45" s="39">
        <v>2701.14</v>
      </c>
      <c r="CI45" s="39">
        <v>2590.92</v>
      </c>
      <c r="CJ45" s="39">
        <v>2590.92</v>
      </c>
      <c r="CK45" s="39">
        <v>2590.92</v>
      </c>
      <c r="CL45" s="39">
        <v>2590.92</v>
      </c>
      <c r="CM45" s="39">
        <v>2590.92</v>
      </c>
      <c r="CN45" s="39">
        <v>2590.92</v>
      </c>
      <c r="CO45" s="39">
        <v>2591</v>
      </c>
      <c r="CQ45" s="39">
        <v>11025</v>
      </c>
      <c r="CR45" s="39">
        <f t="shared" si="29"/>
        <v>11025</v>
      </c>
      <c r="CS45" s="39">
        <f t="shared" si="30"/>
        <v>10473.9</v>
      </c>
      <c r="CT45" s="39">
        <f t="shared" si="44"/>
        <v>10363.76</v>
      </c>
      <c r="CV45" s="39">
        <f t="shared" si="57"/>
        <v>10363.76</v>
      </c>
      <c r="CW45" s="43">
        <f t="shared" si="58"/>
        <v>0.69430941397927315</v>
      </c>
      <c r="CX45" s="43">
        <f t="shared" si="58"/>
        <v>0.75724224676702956</v>
      </c>
      <c r="CY45" s="43">
        <f t="shared" si="58"/>
        <v>0.80746150362318836</v>
      </c>
      <c r="CZ45" s="43">
        <f t="shared" si="58"/>
        <v>0.59138861299761092</v>
      </c>
      <c r="DA45" s="43">
        <f t="shared" si="58"/>
        <v>0.69404153771579846</v>
      </c>
      <c r="DB45" s="43">
        <f t="shared" si="58"/>
        <v>0.79382801664355063</v>
      </c>
      <c r="DC45" s="43">
        <f t="shared" si="58"/>
        <v>0.87620315379889413</v>
      </c>
      <c r="DD45" s="43">
        <f t="shared" si="52"/>
        <v>0.78429504627109414</v>
      </c>
      <c r="DE45" s="43">
        <f t="shared" si="38"/>
        <v>0.78512854790590003</v>
      </c>
      <c r="DF45" s="43">
        <f t="shared" si="38"/>
        <v>0.75776620083243751</v>
      </c>
      <c r="DG45" s="43">
        <f t="shared" si="38"/>
        <v>0.65816766798547677</v>
      </c>
      <c r="DH45" s="43">
        <f t="shared" si="38"/>
        <v>0.76014924840218512</v>
      </c>
      <c r="DI45" s="43"/>
      <c r="DJ45" s="43">
        <f t="shared" si="41"/>
        <v>0.77167089622011487</v>
      </c>
      <c r="DK45" s="43">
        <f t="shared" si="41"/>
        <v>0.72262627328864726</v>
      </c>
      <c r="DL45" s="43">
        <f t="shared" si="41"/>
        <v>0.79239825557743315</v>
      </c>
      <c r="DM45" s="43">
        <f t="shared" si="41"/>
        <v>0.74063581745115981</v>
      </c>
      <c r="DN45" s="43"/>
      <c r="DO45" s="43">
        <f t="shared" si="4"/>
        <v>0.74063581745115981</v>
      </c>
      <c r="DP45" s="118">
        <f t="shared" si="32"/>
        <v>12.177777777777777</v>
      </c>
      <c r="DQ45" s="118">
        <f t="shared" si="32"/>
        <v>13.979138321995466</v>
      </c>
      <c r="DR45" s="118">
        <f t="shared" si="32"/>
        <v>15.524353741496599</v>
      </c>
      <c r="DS45" s="118">
        <f t="shared" si="32"/>
        <v>7.9931065759637185</v>
      </c>
      <c r="DT45" s="118">
        <f t="shared" si="32"/>
        <v>13.781958728536841</v>
      </c>
      <c r="DU45" s="118">
        <f t="shared" si="32"/>
        <v>17.672486993037221</v>
      </c>
      <c r="DV45" s="118">
        <f t="shared" si="32"/>
        <v>23.118814938323066</v>
      </c>
      <c r="DW45" s="118">
        <f t="shared" si="32"/>
        <v>20.018757815756565</v>
      </c>
      <c r="DX45" s="118">
        <f t="shared" si="39"/>
        <v>18.587605946922327</v>
      </c>
      <c r="DY45" s="118">
        <f t="shared" si="39"/>
        <v>21.221033455297732</v>
      </c>
      <c r="DZ45" s="118">
        <f t="shared" si="39"/>
        <v>15.602179920645948</v>
      </c>
      <c r="EA45" s="118">
        <f t="shared" si="39"/>
        <v>16.433423388653029</v>
      </c>
      <c r="EB45" s="118"/>
      <c r="EC45" s="118">
        <f t="shared" si="49"/>
        <v>5.2403628117913836</v>
      </c>
      <c r="ED45" s="118">
        <f t="shared" si="49"/>
        <v>12.418684807256236</v>
      </c>
      <c r="EE45" s="118">
        <f t="shared" si="49"/>
        <v>18.596797754418127</v>
      </c>
      <c r="EF45" s="118">
        <f t="shared" si="49"/>
        <v>17.961048885732591</v>
      </c>
      <c r="EG45" s="118"/>
      <c r="EH45" s="118">
        <f t="shared" si="7"/>
        <v>17.961048885732591</v>
      </c>
      <c r="EI45" s="43">
        <f t="shared" si="61"/>
        <v>5.7014459177130092E-2</v>
      </c>
      <c r="EJ45" s="43">
        <f t="shared" si="61"/>
        <v>5.4169450886364531E-2</v>
      </c>
      <c r="EK45" s="43">
        <f t="shared" si="61"/>
        <v>5.2012567934782608E-2</v>
      </c>
      <c r="EL45" s="43">
        <f t="shared" si="60"/>
        <v>7.3987329879472791E-2</v>
      </c>
      <c r="EM45" s="43">
        <f t="shared" si="60"/>
        <v>5.0358700920988847E-2</v>
      </c>
      <c r="EN45" s="43">
        <f t="shared" si="60"/>
        <v>4.4918862690707349E-2</v>
      </c>
      <c r="EO45" s="43">
        <f t="shared" si="60"/>
        <v>3.7900002925601944E-2</v>
      </c>
      <c r="EP45" s="43">
        <f t="shared" si="60"/>
        <v>3.9178007621121391E-2</v>
      </c>
      <c r="EQ45" s="43">
        <f t="shared" si="60"/>
        <v>4.2239358320155206E-2</v>
      </c>
      <c r="ER45" s="43">
        <f t="shared" si="60"/>
        <v>3.5708260977424959E-2</v>
      </c>
      <c r="ES45" s="43">
        <f t="shared" si="60"/>
        <v>4.2184340350705805E-2</v>
      </c>
      <c r="ET45" s="43">
        <f t="shared" si="60"/>
        <v>4.6256293069589748E-2</v>
      </c>
      <c r="EU45" s="43"/>
      <c r="EV45" s="43">
        <f t="shared" si="59"/>
        <v>0.147255242420195</v>
      </c>
      <c r="EW45" s="43">
        <f t="shared" si="59"/>
        <v>5.8188631445611441E-2</v>
      </c>
      <c r="EX45" s="43">
        <f t="shared" si="59"/>
        <v>4.2609392543895334E-2</v>
      </c>
      <c r="EY45" s="43">
        <f t="shared" si="59"/>
        <v>4.123566625552063E-2</v>
      </c>
      <c r="EZ45" s="43"/>
      <c r="FA45" s="43">
        <f t="shared" si="9"/>
        <v>4.123566625552063E-2</v>
      </c>
      <c r="FB45" s="147" t="str">
        <f t="shared" si="10"/>
        <v/>
      </c>
      <c r="FC45" s="148"/>
      <c r="FD45" s="149">
        <f t="shared" si="11"/>
        <v>506131</v>
      </c>
      <c r="FE45" s="150">
        <f>FD45/AO45-1</f>
        <v>-7.9144007525048576E-2</v>
      </c>
      <c r="FF45" s="73">
        <f t="shared" si="12"/>
        <v>251330</v>
      </c>
      <c r="FG45" s="74">
        <f t="shared" si="46"/>
        <v>2.2448049729061337E-2</v>
      </c>
      <c r="FH45" s="73">
        <f t="shared" si="13"/>
        <v>186144</v>
      </c>
      <c r="FI45" s="74">
        <f t="shared" si="47"/>
        <v>-4.434210728972543E-2</v>
      </c>
      <c r="FJ45" s="151">
        <f t="shared" si="14"/>
        <v>10363.76</v>
      </c>
      <c r="FK45" s="152">
        <f t="shared" si="15"/>
        <v>0.74063581745115981</v>
      </c>
      <c r="FL45" s="153">
        <f t="shared" si="16"/>
        <v>17.961048885732591</v>
      </c>
      <c r="FM45" s="76">
        <f t="shared" si="48"/>
        <v>18.596797754418127</v>
      </c>
      <c r="FN45" s="152">
        <f t="shared" si="18"/>
        <v>4.123566625552063E-2</v>
      </c>
      <c r="FO45" s="154" t="s">
        <v>40</v>
      </c>
      <c r="FP45" s="155" t="s">
        <v>66</v>
      </c>
      <c r="FQ45" s="156"/>
      <c r="FR45" s="156" t="s">
        <v>113</v>
      </c>
      <c r="FS45" s="157" t="s">
        <v>113</v>
      </c>
      <c r="FT45" s="81" t="s">
        <v>249</v>
      </c>
      <c r="FU45" s="81"/>
      <c r="FV45" s="81"/>
      <c r="FW45" s="81"/>
      <c r="FX45" s="82" t="s">
        <v>252</v>
      </c>
    </row>
    <row r="46" spans="1:180" x14ac:dyDescent="0.25">
      <c r="Y46" s="39" t="s">
        <v>336</v>
      </c>
      <c r="AO46" s="158"/>
      <c r="AP46" s="158"/>
      <c r="FJ46" s="84"/>
    </row>
    <row r="47" spans="1:180" x14ac:dyDescent="0.25">
      <c r="BW47" s="39" t="s">
        <v>337</v>
      </c>
    </row>
    <row r="49" spans="8:164" x14ac:dyDescent="0.25">
      <c r="FH49" s="162"/>
    </row>
    <row r="50" spans="8:164" x14ac:dyDescent="0.25">
      <c r="FH50" s="162"/>
    </row>
    <row r="56" spans="8:164" x14ac:dyDescent="0.25">
      <c r="H56" s="163"/>
    </row>
  </sheetData>
  <autoFilter ref="A3:FX47" xr:uid="{AC04187F-ACED-4C16-B9DC-FF123AE4DA0A}"/>
  <mergeCells count="16">
    <mergeCell ref="CW1:DO1"/>
    <mergeCell ref="DP1:EH1"/>
    <mergeCell ref="EI1:FA1"/>
    <mergeCell ref="FB1:FO1"/>
    <mergeCell ref="FP1:FX1"/>
    <mergeCell ref="FB2:FC2"/>
    <mergeCell ref="FD2:FE2"/>
    <mergeCell ref="FF2:FG2"/>
    <mergeCell ref="FH2:FI2"/>
    <mergeCell ref="FL2:FM2"/>
    <mergeCell ref="A1:I1"/>
    <mergeCell ref="J1:Z1"/>
    <mergeCell ref="AA1:AQ1"/>
    <mergeCell ref="AR1:BJ1"/>
    <mergeCell ref="BK1:CC1"/>
    <mergeCell ref="CD1:CV1"/>
  </mergeCells>
  <conditionalFormatting sqref="A27:CM27 CN27:FK39 AQ28:CB31 CC28:CM39 BX32:CB32 AQ33:CB33 AQ34:BT34 BX34:CB34 AQ35:CB39 AQ40:FK43 BJ44:BJ45 BW44:BW45 CC44:CC45 CT44:CV45">
    <cfRule type="expression" dxfId="6" priority="6">
      <formula>MOD(ROW(),2)=0</formula>
    </cfRule>
  </conditionalFormatting>
  <conditionalFormatting sqref="A4:FK26 FN10:FO14 FS14:FV14 FX14">
    <cfRule type="expression" dxfId="5" priority="7">
      <formula>MOD(ROW(),2)=0</formula>
    </cfRule>
  </conditionalFormatting>
  <conditionalFormatting sqref="A44:FK45">
    <cfRule type="expression" dxfId="4" priority="1">
      <formula>MOD(ROW(),2)=0</formula>
    </cfRule>
  </conditionalFormatting>
  <conditionalFormatting sqref="AQ32:BT32">
    <cfRule type="expression" dxfId="3" priority="2">
      <formula>MOD(ROW(),2)=0</formula>
    </cfRule>
  </conditionalFormatting>
  <conditionalFormatting sqref="BC48:BD48">
    <cfRule type="expression" dxfId="2" priority="3">
      <formula>MOD(ROW(),2)=0</formula>
    </cfRule>
  </conditionalFormatting>
  <conditionalFormatting sqref="FM4:FM45">
    <cfRule type="expression" dxfId="1" priority="4">
      <formula>MOD(ROW(),2)=0</formula>
    </cfRule>
  </conditionalFormatting>
  <conditionalFormatting sqref="FN4:FX9 FP10:FX13 FP14:FR45 FN15:FO45 FS15:FX45 A28:AP43">
    <cfRule type="expression" dxfId="0" priority="5">
      <formula>MOD(ROW(),2)=0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 Financials </vt:lpstr>
      <vt:lpstr>P&amp;Ls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Pribuss</dc:creator>
  <cp:lastModifiedBy>Nick Pribuss</cp:lastModifiedBy>
  <dcterms:created xsi:type="dcterms:W3CDTF">2026-06-01T21:16:25Z</dcterms:created>
  <dcterms:modified xsi:type="dcterms:W3CDTF">2026-06-01T21:17:59Z</dcterms:modified>
</cp:coreProperties>
</file>